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Projects/Financial Information Publist/GF提取的excel表格/"/>
    </mc:Choice>
  </mc:AlternateContent>
  <xr:revisionPtr revIDLastSave="0" documentId="8_{D36EF211-4149-CC41-ADB5-5584944C7629}" xr6:coauthVersionLast="47" xr6:coauthVersionMax="47" xr10:uidLastSave="{00000000-0000-0000-0000-000000000000}"/>
  <bookViews>
    <workbookView xWindow="3660" yWindow="2760" windowWidth="27640" windowHeight="16680" xr2:uid="{DE79C537-33D6-6940-89C1-ED8DBF9D31FE}"/>
  </bookViews>
  <sheets>
    <sheet name="5w5 18年调增提取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" i="1" l="1"/>
  <c r="N104" i="1"/>
  <c r="Q104" i="1" s="1"/>
  <c r="L104" i="1"/>
  <c r="N103" i="1"/>
  <c r="Q103" i="1" s="1"/>
  <c r="L103" i="1"/>
  <c r="N102" i="1"/>
  <c r="Q102" i="1" s="1"/>
  <c r="L102" i="1"/>
  <c r="N101" i="1"/>
  <c r="Q101" i="1" s="1"/>
  <c r="L101" i="1"/>
  <c r="N100" i="1"/>
  <c r="Q100" i="1" s="1"/>
  <c r="L100" i="1"/>
  <c r="N99" i="1"/>
  <c r="Q99" i="1" s="1"/>
  <c r="L99" i="1"/>
  <c r="Q98" i="1"/>
  <c r="N98" i="1"/>
  <c r="L98" i="1"/>
  <c r="Q97" i="1"/>
  <c r="N97" i="1"/>
  <c r="L97" i="1"/>
  <c r="Q96" i="1"/>
  <c r="N96" i="1"/>
  <c r="L96" i="1"/>
  <c r="N95" i="1"/>
  <c r="Q95" i="1" s="1"/>
  <c r="L95" i="1"/>
  <c r="Q94" i="1"/>
  <c r="N94" i="1"/>
  <c r="L94" i="1"/>
  <c r="N93" i="1"/>
  <c r="Q93" i="1" s="1"/>
  <c r="L93" i="1"/>
  <c r="Q92" i="1"/>
  <c r="N92" i="1"/>
  <c r="L92" i="1"/>
  <c r="N91" i="1"/>
  <c r="Q91" i="1" s="1"/>
  <c r="L91" i="1"/>
  <c r="N90" i="1"/>
  <c r="Q90" i="1" s="1"/>
  <c r="L90" i="1"/>
  <c r="N89" i="1"/>
  <c r="Q89" i="1" s="1"/>
  <c r="L89" i="1"/>
  <c r="Q88" i="1"/>
  <c r="N88" i="1"/>
  <c r="L88" i="1"/>
  <c r="Q87" i="1"/>
  <c r="N87" i="1"/>
  <c r="L87" i="1"/>
  <c r="Q86" i="1"/>
  <c r="N86" i="1"/>
  <c r="L86" i="1"/>
  <c r="N85" i="1"/>
  <c r="Q85" i="1" s="1"/>
  <c r="L85" i="1"/>
  <c r="Q84" i="1"/>
  <c r="N84" i="1"/>
  <c r="L84" i="1"/>
  <c r="N83" i="1"/>
  <c r="Q83" i="1" s="1"/>
  <c r="L83" i="1"/>
  <c r="Q82" i="1"/>
  <c r="N82" i="1"/>
  <c r="L82" i="1"/>
  <c r="N81" i="1"/>
  <c r="Q81" i="1" s="1"/>
  <c r="L81" i="1"/>
  <c r="N80" i="1"/>
  <c r="Q80" i="1" s="1"/>
  <c r="L80" i="1"/>
  <c r="N79" i="1"/>
  <c r="Q79" i="1" s="1"/>
  <c r="L79" i="1"/>
  <c r="Q78" i="1"/>
  <c r="N78" i="1"/>
  <c r="L78" i="1"/>
  <c r="Q77" i="1"/>
  <c r="N77" i="1"/>
  <c r="L77" i="1"/>
  <c r="Q76" i="1"/>
  <c r="N76" i="1"/>
  <c r="L76" i="1"/>
  <c r="N75" i="1"/>
  <c r="Q75" i="1" s="1"/>
  <c r="L75" i="1"/>
  <c r="Q74" i="1"/>
  <c r="N74" i="1"/>
  <c r="L74" i="1"/>
  <c r="N73" i="1"/>
  <c r="Q73" i="1" s="1"/>
  <c r="L73" i="1"/>
  <c r="Q72" i="1"/>
  <c r="N72" i="1"/>
  <c r="L72" i="1"/>
  <c r="N71" i="1"/>
  <c r="Q71" i="1" s="1"/>
  <c r="L71" i="1"/>
  <c r="N70" i="1"/>
  <c r="Q70" i="1" s="1"/>
  <c r="L70" i="1"/>
  <c r="N69" i="1"/>
  <c r="Q69" i="1" s="1"/>
  <c r="L69" i="1"/>
  <c r="Q68" i="1"/>
  <c r="N68" i="1"/>
  <c r="L68" i="1"/>
  <c r="Q67" i="1"/>
  <c r="N67" i="1"/>
  <c r="L67" i="1"/>
  <c r="Q66" i="1"/>
  <c r="N66" i="1"/>
  <c r="L66" i="1"/>
  <c r="N65" i="1"/>
  <c r="Q65" i="1" s="1"/>
  <c r="L65" i="1"/>
  <c r="Q64" i="1"/>
  <c r="N64" i="1"/>
  <c r="L64" i="1"/>
  <c r="N63" i="1"/>
  <c r="Q63" i="1" s="1"/>
  <c r="L63" i="1"/>
  <c r="Q62" i="1"/>
  <c r="N62" i="1"/>
  <c r="L62" i="1"/>
  <c r="N61" i="1"/>
  <c r="Q61" i="1" s="1"/>
  <c r="L61" i="1"/>
  <c r="N60" i="1"/>
  <c r="Q60" i="1" s="1"/>
  <c r="L60" i="1"/>
  <c r="N59" i="1"/>
  <c r="Q59" i="1" s="1"/>
  <c r="L59" i="1"/>
  <c r="Q58" i="1"/>
  <c r="N58" i="1"/>
  <c r="L58" i="1"/>
  <c r="Q57" i="1"/>
  <c r="N57" i="1"/>
  <c r="L57" i="1"/>
  <c r="Q56" i="1"/>
  <c r="N56" i="1"/>
  <c r="L56" i="1"/>
  <c r="N55" i="1"/>
  <c r="Q55" i="1" s="1"/>
  <c r="L55" i="1"/>
  <c r="Q54" i="1"/>
  <c r="N54" i="1"/>
  <c r="L54" i="1"/>
  <c r="N53" i="1"/>
  <c r="Q53" i="1" s="1"/>
  <c r="L53" i="1"/>
  <c r="Q52" i="1"/>
  <c r="N52" i="1"/>
  <c r="L52" i="1"/>
  <c r="N51" i="1"/>
  <c r="Q51" i="1" s="1"/>
  <c r="L51" i="1"/>
  <c r="N50" i="1"/>
  <c r="Q50" i="1" s="1"/>
  <c r="L50" i="1"/>
  <c r="N49" i="1"/>
  <c r="Q49" i="1" s="1"/>
  <c r="L49" i="1"/>
  <c r="Q48" i="1"/>
  <c r="N48" i="1"/>
  <c r="L48" i="1"/>
  <c r="Q47" i="1"/>
  <c r="N47" i="1"/>
  <c r="L47" i="1"/>
  <c r="Q46" i="1"/>
  <c r="N46" i="1"/>
  <c r="L46" i="1"/>
  <c r="N45" i="1"/>
  <c r="Q45" i="1" s="1"/>
  <c r="L45" i="1"/>
  <c r="Q44" i="1"/>
  <c r="N44" i="1"/>
  <c r="L44" i="1"/>
  <c r="N43" i="1"/>
  <c r="Q43" i="1" s="1"/>
  <c r="L43" i="1"/>
  <c r="N42" i="1"/>
  <c r="Q42" i="1" s="1"/>
  <c r="L42" i="1"/>
  <c r="N41" i="1"/>
  <c r="Q41" i="1" s="1"/>
  <c r="L41" i="1"/>
  <c r="N40" i="1"/>
  <c r="Q40" i="1" s="1"/>
  <c r="L40" i="1"/>
  <c r="N39" i="1"/>
  <c r="Q39" i="1" s="1"/>
  <c r="L39" i="1"/>
  <c r="N38" i="1"/>
  <c r="Q38" i="1" s="1"/>
  <c r="L38" i="1"/>
  <c r="N37" i="1"/>
  <c r="Q37" i="1" s="1"/>
  <c r="L37" i="1"/>
  <c r="A37" i="1"/>
  <c r="N36" i="1"/>
  <c r="Q36" i="1" s="1"/>
  <c r="L36" i="1"/>
  <c r="A36" i="1"/>
  <c r="Q35" i="1"/>
  <c r="N35" i="1"/>
  <c r="L35" i="1"/>
  <c r="A35" i="1"/>
  <c r="Q34" i="1"/>
  <c r="N34" i="1"/>
  <c r="L34" i="1"/>
  <c r="A34" i="1"/>
  <c r="N33" i="1"/>
  <c r="Q33" i="1" s="1"/>
  <c r="L33" i="1"/>
  <c r="A33" i="1"/>
  <c r="N32" i="1"/>
  <c r="Q32" i="1" s="1"/>
  <c r="L32" i="1"/>
  <c r="A32" i="1"/>
  <c r="N31" i="1"/>
  <c r="Q31" i="1" s="1"/>
  <c r="L31" i="1"/>
  <c r="A31" i="1"/>
  <c r="Q30" i="1"/>
  <c r="N30" i="1"/>
  <c r="L30" i="1"/>
  <c r="A30" i="1"/>
  <c r="Q29" i="1"/>
  <c r="N29" i="1"/>
  <c r="L29" i="1"/>
  <c r="A29" i="1"/>
  <c r="N28" i="1"/>
  <c r="Q28" i="1" s="1"/>
  <c r="L28" i="1"/>
  <c r="A28" i="1"/>
  <c r="N27" i="1"/>
  <c r="Q27" i="1" s="1"/>
  <c r="L27" i="1"/>
  <c r="A27" i="1"/>
  <c r="N26" i="1"/>
  <c r="Q26" i="1" s="1"/>
  <c r="L26" i="1"/>
  <c r="A26" i="1"/>
  <c r="Q25" i="1"/>
  <c r="N25" i="1"/>
  <c r="L25" i="1"/>
  <c r="A25" i="1"/>
  <c r="Q24" i="1"/>
  <c r="N24" i="1"/>
  <c r="L24" i="1"/>
  <c r="A24" i="1"/>
  <c r="N23" i="1"/>
  <c r="Q23" i="1" s="1"/>
  <c r="L23" i="1"/>
  <c r="A23" i="1"/>
  <c r="N22" i="1"/>
  <c r="Q22" i="1" s="1"/>
  <c r="L22" i="1"/>
  <c r="A22" i="1"/>
  <c r="N21" i="1"/>
  <c r="Q21" i="1" s="1"/>
  <c r="L21" i="1"/>
  <c r="A21" i="1"/>
  <c r="Q20" i="1"/>
  <c r="N20" i="1"/>
  <c r="L20" i="1"/>
  <c r="A20" i="1"/>
  <c r="Q19" i="1"/>
  <c r="N19" i="1"/>
  <c r="L19" i="1"/>
  <c r="A19" i="1"/>
  <c r="N18" i="1"/>
  <c r="Q18" i="1" s="1"/>
  <c r="L18" i="1"/>
  <c r="A18" i="1"/>
  <c r="N17" i="1"/>
  <c r="Q17" i="1" s="1"/>
  <c r="L17" i="1"/>
  <c r="A17" i="1"/>
  <c r="N16" i="1"/>
  <c r="Q16" i="1" s="1"/>
  <c r="L16" i="1"/>
  <c r="A16" i="1"/>
  <c r="Q15" i="1"/>
  <c r="N15" i="1"/>
  <c r="L15" i="1"/>
  <c r="A15" i="1"/>
  <c r="Q14" i="1"/>
  <c r="N14" i="1"/>
  <c r="L14" i="1"/>
  <c r="A14" i="1"/>
  <c r="N13" i="1"/>
  <c r="Q13" i="1" s="1"/>
  <c r="L13" i="1"/>
  <c r="A13" i="1"/>
  <c r="N12" i="1"/>
  <c r="Q12" i="1" s="1"/>
  <c r="L12" i="1"/>
  <c r="A12" i="1"/>
  <c r="N11" i="1"/>
  <c r="Q11" i="1" s="1"/>
  <c r="L11" i="1"/>
  <c r="A11" i="1"/>
  <c r="Q10" i="1"/>
  <c r="N10" i="1"/>
  <c r="L10" i="1"/>
  <c r="A10" i="1"/>
  <c r="Q9" i="1"/>
  <c r="L9" i="1"/>
  <c r="A9" i="1"/>
  <c r="L8" i="1"/>
  <c r="A8" i="1"/>
  <c r="L7" i="1"/>
  <c r="A7" i="1"/>
  <c r="L6" i="1"/>
  <c r="A6" i="1"/>
  <c r="O5" i="1"/>
  <c r="Q5" i="1" s="1"/>
  <c r="M5" i="1"/>
  <c r="M6" i="1" s="1"/>
  <c r="L5" i="1"/>
  <c r="A5" i="1"/>
  <c r="Q4" i="1"/>
  <c r="M4" i="1"/>
  <c r="M7" i="1" l="1"/>
  <c r="Q6" i="1"/>
  <c r="Q7" i="1" l="1"/>
  <c r="M8" i="1"/>
  <c r="Q8" i="1" s="1"/>
  <c r="Q105" i="1" l="1"/>
</calcChain>
</file>

<file path=xl/sharedStrings.xml><?xml version="1.0" encoding="utf-8"?>
<sst xmlns="http://schemas.openxmlformats.org/spreadsheetml/2006/main" count="20" uniqueCount="20">
  <si>
    <t>妈妈年龄</t>
  </si>
  <si>
    <t>佳稚年龄</t>
  </si>
  <si>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</si>
  <si>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</si>
  <si>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现金提取</t>
    </r>
    <r>
      <rPr>
        <vertAlign val="subscript"/>
        <sz val="9"/>
        <rFont val="Microsoft JhengHei"/>
        <family val="2"/>
      </rPr>
      <t>金额</t>
    </r>
    <r>
      <rPr>
        <sz val="6"/>
        <rFont val="Microsoft JhengHei"/>
        <family val="2"/>
      </rPr>
      <t>(1),(2)</t>
    </r>
  </si>
  <si>
    <r>
      <rPr>
        <sz val="9"/>
        <rFont val="Microsoft JhengHei"/>
        <family val="2"/>
      </rPr>
      <t>现金提取后之基本金额</t>
    </r>
  </si>
  <si>
    <r>
      <rPr>
        <sz val="9"/>
        <rFont val="Microsoft JhengHei"/>
        <family val="2"/>
      </rPr>
      <t>现金提取后之退保发还金额</t>
    </r>
  </si>
  <si>
    <r>
      <rPr>
        <sz val="9"/>
        <rFont val="Microsoft JhengHei"/>
        <family val="2"/>
      </rPr>
      <t>保证金额</t>
    </r>
    <r>
      <rPr>
        <vertAlign val="superscript"/>
        <sz val="6"/>
        <rFont val="Microsoft JhengHei"/>
        <family val="2"/>
      </rPr>
      <t>(2)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</si>
  <si>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</si>
  <si>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</si>
  <si>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</si>
  <si>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</si>
  <si>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</si>
  <si>
    <t>保单年度</t>
  </si>
  <si>
    <t>保费投入</t>
  </si>
  <si>
    <t>提取金额</t>
  </si>
  <si>
    <t>优惠金额</t>
  </si>
  <si>
    <t>退保现金价值</t>
  </si>
  <si>
    <t>现金流</t>
  </si>
  <si>
    <t>IRR=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</si>
</sst>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Arial MT"/>
      <family val="2"/>
    </font>
    <font>
      <sz val="9"/>
      <name val="Microsoft JhengHei"/>
      <family val="2"/>
      <charset val="136"/>
    </font>
    <font>
      <sz val="9"/>
      <name val="Microsoft JhengHei"/>
      <family val="2"/>
    </font>
    <font>
      <vertAlign val="subscript"/>
      <sz val="9"/>
      <name val="Microsoft JhengHei"/>
      <family val="2"/>
    </font>
    <font>
      <sz val="6"/>
      <name val="Microsoft JhengHei"/>
      <family val="2"/>
    </font>
    <font>
      <vertAlign val="superscript"/>
      <sz val="6"/>
      <name val="Microsoft JhengHe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" fontId="2" fillId="0" borderId="1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3" fillId="0" borderId="7" xfId="0" applyFont="1" applyBorder="1" applyAlignment="1">
      <alignment horizontal="left" vertical="top" wrapText="1" indent="2"/>
    </xf>
    <xf numFmtId="0" fontId="0" fillId="0" borderId="6" xfId="0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 indent="1"/>
    </xf>
    <xf numFmtId="0" fontId="0" fillId="0" borderId="8" xfId="0" applyBorder="1"/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3" fontId="0" fillId="0" borderId="8" xfId="0" applyNumberFormat="1" applyBorder="1"/>
    <xf numFmtId="9" fontId="0" fillId="0" borderId="0" xfId="0" applyNumberFormat="1"/>
    <xf numFmtId="1" fontId="2" fillId="0" borderId="2" xfId="0" applyNumberFormat="1" applyFont="1" applyBorder="1" applyAlignment="1">
      <alignment horizontal="center" vertical="top" shrinkToFit="1"/>
    </xf>
    <xf numFmtId="3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1" fontId="2" fillId="0" borderId="8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center" vertical="top" shrinkToFit="1"/>
    </xf>
    <xf numFmtId="3" fontId="2" fillId="0" borderId="7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right"/>
    </xf>
    <xf numFmtId="10" fontId="8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rek/Projects/Financial%20Information%20Publist/GF&#25552;&#21462;&#30340;excel&#34920;&#26684;/withdraw%20plan.xlsx" TargetMode="External"/><Relationship Id="rId1" Type="http://schemas.openxmlformats.org/officeDocument/2006/relationships/externalLinkPath" Target="withdraw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w5完全提取"/>
      <sheetName val="5w5 18年调增提取"/>
      <sheetName val="不提取累积情况"/>
      <sheetName val="提取参考：第10年9%持续提取"/>
      <sheetName val="提取参考：第11年6.7%+2%通胀调增"/>
      <sheetName val="提取参考：第15年9%通胀调增"/>
      <sheetName val="提取参考：第18年15%持续提取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>
            <v>68</v>
          </cell>
        </row>
        <row r="6">
          <cell r="A6">
            <v>69</v>
          </cell>
        </row>
        <row r="7">
          <cell r="A7">
            <v>70</v>
          </cell>
        </row>
        <row r="8">
          <cell r="A8">
            <v>71</v>
          </cell>
        </row>
        <row r="9">
          <cell r="A9">
            <v>72</v>
          </cell>
        </row>
        <row r="10">
          <cell r="A10">
            <v>73</v>
          </cell>
        </row>
        <row r="11">
          <cell r="A11">
            <v>74</v>
          </cell>
        </row>
        <row r="12">
          <cell r="A12">
            <v>75</v>
          </cell>
        </row>
        <row r="13">
          <cell r="A13">
            <v>76</v>
          </cell>
        </row>
        <row r="14">
          <cell r="A14">
            <v>77</v>
          </cell>
        </row>
        <row r="15">
          <cell r="A15">
            <v>78</v>
          </cell>
        </row>
        <row r="16">
          <cell r="A16">
            <v>79</v>
          </cell>
        </row>
        <row r="17">
          <cell r="A17">
            <v>80</v>
          </cell>
        </row>
        <row r="18">
          <cell r="A18">
            <v>81</v>
          </cell>
        </row>
        <row r="19">
          <cell r="A19">
            <v>82</v>
          </cell>
        </row>
        <row r="20">
          <cell r="A20">
            <v>83</v>
          </cell>
        </row>
        <row r="21">
          <cell r="A21">
            <v>84</v>
          </cell>
        </row>
        <row r="22">
          <cell r="A22">
            <v>85</v>
          </cell>
        </row>
        <row r="23">
          <cell r="A23">
            <v>86</v>
          </cell>
        </row>
        <row r="24">
          <cell r="A24">
            <v>87</v>
          </cell>
        </row>
        <row r="25">
          <cell r="A25">
            <v>88</v>
          </cell>
        </row>
        <row r="26">
          <cell r="A26">
            <v>89</v>
          </cell>
        </row>
        <row r="27">
          <cell r="A27">
            <v>90</v>
          </cell>
        </row>
        <row r="28">
          <cell r="A28">
            <v>91</v>
          </cell>
        </row>
        <row r="29">
          <cell r="A29">
            <v>92</v>
          </cell>
        </row>
        <row r="30">
          <cell r="A30">
            <v>93</v>
          </cell>
        </row>
        <row r="31">
          <cell r="A31">
            <v>94</v>
          </cell>
        </row>
        <row r="32">
          <cell r="A32">
            <v>95</v>
          </cell>
        </row>
        <row r="33">
          <cell r="A33">
            <v>96</v>
          </cell>
        </row>
        <row r="34">
          <cell r="A34">
            <v>97</v>
          </cell>
        </row>
        <row r="35">
          <cell r="A35">
            <v>98</v>
          </cell>
        </row>
        <row r="36">
          <cell r="A36">
            <v>99</v>
          </cell>
        </row>
        <row r="37">
          <cell r="A37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2277-AD66-A94D-8370-05933C1692B7}">
  <dimension ref="A1:T105"/>
  <sheetViews>
    <sheetView tabSelected="1" workbookViewId="0">
      <selection activeCell="C63" sqref="C63"/>
    </sheetView>
  </sheetViews>
  <sheetFormatPr baseColWidth="10" defaultRowHeight="16"/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8"/>
    </row>
    <row r="2" spans="1:20">
      <c r="A2" s="1"/>
      <c r="B2" s="1"/>
      <c r="C2" s="9"/>
      <c r="D2" s="10"/>
      <c r="E2" s="11"/>
      <c r="F2" s="12"/>
      <c r="G2" s="13" t="s">
        <v>7</v>
      </c>
      <c r="H2" s="14" t="s">
        <v>8</v>
      </c>
      <c r="I2" s="15"/>
      <c r="J2" s="16" t="s">
        <v>9</v>
      </c>
    </row>
    <row r="3" spans="1:20" ht="30">
      <c r="A3" s="1"/>
      <c r="B3" s="1"/>
      <c r="C3" s="17"/>
      <c r="D3" s="18"/>
      <c r="E3" s="19"/>
      <c r="F3" s="20"/>
      <c r="G3" s="21" t="s">
        <v>10</v>
      </c>
      <c r="H3" s="21" t="s">
        <v>11</v>
      </c>
      <c r="I3" s="21" t="s">
        <v>12</v>
      </c>
      <c r="J3" s="22"/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3" t="s">
        <v>18</v>
      </c>
    </row>
    <row r="4" spans="1:20">
      <c r="A4" s="24"/>
      <c r="B4" s="24"/>
      <c r="C4" s="25"/>
      <c r="D4" s="26"/>
      <c r="E4" s="27"/>
      <c r="F4" s="28"/>
      <c r="G4" s="29"/>
      <c r="H4" s="29"/>
      <c r="I4" s="29"/>
      <c r="J4" s="30"/>
      <c r="L4" s="23">
        <v>0</v>
      </c>
      <c r="M4" s="31">
        <f>-D5</f>
        <v>-50000</v>
      </c>
      <c r="N4" s="23"/>
      <c r="O4" s="23"/>
      <c r="P4" s="23"/>
      <c r="Q4" s="31">
        <f>M4+N4+P4+O4</f>
        <v>-50000</v>
      </c>
      <c r="T4" s="32">
        <v>0.14000000000000001</v>
      </c>
    </row>
    <row r="5" spans="1:20">
      <c r="A5" s="24">
        <f>'[1]提取参考：第18年15%持续提取'!A5</f>
        <v>68</v>
      </c>
      <c r="B5" s="24">
        <v>42</v>
      </c>
      <c r="C5" s="33">
        <v>1</v>
      </c>
      <c r="D5" s="34">
        <v>50000</v>
      </c>
      <c r="E5" s="35">
        <v>0</v>
      </c>
      <c r="F5" s="34">
        <v>512296</v>
      </c>
      <c r="G5" s="35">
        <v>51</v>
      </c>
      <c r="H5" s="35">
        <v>0</v>
      </c>
      <c r="I5" s="35">
        <v>0</v>
      </c>
      <c r="J5" s="35">
        <v>51</v>
      </c>
      <c r="L5" s="36">
        <f>C5</f>
        <v>1</v>
      </c>
      <c r="M5" s="31">
        <f>M4</f>
        <v>-50000</v>
      </c>
      <c r="N5" s="23"/>
      <c r="O5" s="23">
        <f>D5*T4</f>
        <v>7000.0000000000009</v>
      </c>
      <c r="P5" s="23"/>
      <c r="Q5" s="31">
        <f t="shared" ref="Q5:Q68" si="0">M5+N5+P5+O5</f>
        <v>-43000</v>
      </c>
    </row>
    <row r="6" spans="1:20">
      <c r="A6" s="24">
        <f>'[1]提取参考：第18年15%持续提取'!A6</f>
        <v>69</v>
      </c>
      <c r="B6" s="24">
        <v>43</v>
      </c>
      <c r="C6" s="24">
        <v>2</v>
      </c>
      <c r="D6" s="37">
        <v>100000</v>
      </c>
      <c r="E6" s="38">
        <v>0</v>
      </c>
      <c r="F6" s="37">
        <v>512296</v>
      </c>
      <c r="G6" s="38">
        <v>51</v>
      </c>
      <c r="H6" s="38">
        <v>0</v>
      </c>
      <c r="I6" s="38">
        <v>0</v>
      </c>
      <c r="J6" s="38">
        <v>51</v>
      </c>
      <c r="L6" s="36">
        <f t="shared" ref="L6:L69" si="1">C6</f>
        <v>2</v>
      </c>
      <c r="M6" s="31">
        <f t="shared" ref="M6:M8" si="2">M5</f>
        <v>-50000</v>
      </c>
      <c r="N6" s="23"/>
      <c r="O6" s="23"/>
      <c r="P6" s="23"/>
      <c r="Q6" s="31">
        <f t="shared" si="0"/>
        <v>-50000</v>
      </c>
    </row>
    <row r="7" spans="1:20">
      <c r="A7" s="24">
        <f>'[1]提取参考：第18年15%持续提取'!A7</f>
        <v>70</v>
      </c>
      <c r="B7" s="24">
        <v>44</v>
      </c>
      <c r="C7" s="24">
        <v>3</v>
      </c>
      <c r="D7" s="37">
        <v>150000</v>
      </c>
      <c r="E7" s="38">
        <v>0</v>
      </c>
      <c r="F7" s="37">
        <v>512296</v>
      </c>
      <c r="G7" s="37">
        <v>13320</v>
      </c>
      <c r="H7" s="37">
        <v>4150</v>
      </c>
      <c r="I7" s="37">
        <v>7747</v>
      </c>
      <c r="J7" s="37">
        <v>25216</v>
      </c>
      <c r="L7" s="36">
        <f t="shared" si="1"/>
        <v>3</v>
      </c>
      <c r="M7" s="31">
        <f t="shared" si="2"/>
        <v>-50000</v>
      </c>
      <c r="N7" s="23"/>
      <c r="O7" s="23"/>
      <c r="P7" s="23"/>
      <c r="Q7" s="31">
        <f t="shared" si="0"/>
        <v>-50000</v>
      </c>
    </row>
    <row r="8" spans="1:20">
      <c r="A8" s="24">
        <f>'[1]提取参考：第18年15%持续提取'!A8</f>
        <v>71</v>
      </c>
      <c r="B8" s="24">
        <v>45</v>
      </c>
      <c r="C8" s="24">
        <v>4</v>
      </c>
      <c r="D8" s="37">
        <v>200000</v>
      </c>
      <c r="E8" s="38">
        <v>0</v>
      </c>
      <c r="F8" s="37">
        <v>512296</v>
      </c>
      <c r="G8" s="37">
        <v>37398</v>
      </c>
      <c r="H8" s="37">
        <v>8361</v>
      </c>
      <c r="I8" s="37">
        <v>17182</v>
      </c>
      <c r="J8" s="37">
        <v>62941</v>
      </c>
      <c r="L8" s="36">
        <f t="shared" si="1"/>
        <v>4</v>
      </c>
      <c r="M8" s="31">
        <f t="shared" si="2"/>
        <v>-50000</v>
      </c>
      <c r="N8" s="23"/>
      <c r="O8" s="23"/>
      <c r="P8" s="23"/>
      <c r="Q8" s="31">
        <f t="shared" si="0"/>
        <v>-50000</v>
      </c>
    </row>
    <row r="9" spans="1:20">
      <c r="A9" s="24">
        <f>'[1]提取参考：第18年15%持续提取'!A9</f>
        <v>72</v>
      </c>
      <c r="B9" s="24">
        <v>46</v>
      </c>
      <c r="C9" s="39">
        <v>5</v>
      </c>
      <c r="D9" s="40">
        <v>250000</v>
      </c>
      <c r="E9" s="41">
        <v>0</v>
      </c>
      <c r="F9" s="40">
        <v>512296</v>
      </c>
      <c r="G9" s="40">
        <v>70697</v>
      </c>
      <c r="H9" s="40">
        <v>12636</v>
      </c>
      <c r="I9" s="40">
        <v>34121</v>
      </c>
      <c r="J9" s="40">
        <v>117454</v>
      </c>
      <c r="L9" s="36">
        <f t="shared" si="1"/>
        <v>5</v>
      </c>
      <c r="M9" s="23"/>
      <c r="N9" s="23"/>
      <c r="O9" s="23"/>
      <c r="P9" s="23"/>
      <c r="Q9" s="31">
        <f t="shared" si="0"/>
        <v>0</v>
      </c>
    </row>
    <row r="10" spans="1:20">
      <c r="A10" s="24">
        <f>'[1]提取参考：第18年15%持续提取'!A10</f>
        <v>73</v>
      </c>
      <c r="B10" s="24">
        <v>47</v>
      </c>
      <c r="C10" s="33">
        <v>6</v>
      </c>
      <c r="D10" s="34">
        <v>250000</v>
      </c>
      <c r="E10" s="35">
        <v>0</v>
      </c>
      <c r="F10" s="34">
        <v>512296</v>
      </c>
      <c r="G10" s="34">
        <v>93238</v>
      </c>
      <c r="H10" s="34">
        <v>16976</v>
      </c>
      <c r="I10" s="34">
        <v>109559</v>
      </c>
      <c r="J10" s="34">
        <v>219773</v>
      </c>
      <c r="L10" s="36">
        <f t="shared" si="1"/>
        <v>6</v>
      </c>
      <c r="M10" s="23"/>
      <c r="N10" s="31">
        <f>E10</f>
        <v>0</v>
      </c>
      <c r="O10" s="31"/>
      <c r="P10" s="23"/>
      <c r="Q10" s="31">
        <f t="shared" si="0"/>
        <v>0</v>
      </c>
    </row>
    <row r="11" spans="1:20">
      <c r="A11" s="24">
        <f>'[1]提取参考：第18年15%持续提取'!A11</f>
        <v>74</v>
      </c>
      <c r="B11" s="24">
        <v>48</v>
      </c>
      <c r="C11" s="24">
        <v>7</v>
      </c>
      <c r="D11" s="37">
        <v>250000</v>
      </c>
      <c r="E11" s="38">
        <v>0</v>
      </c>
      <c r="F11" s="37">
        <v>512296</v>
      </c>
      <c r="G11" s="37">
        <v>115267</v>
      </c>
      <c r="H11" s="37">
        <v>21380</v>
      </c>
      <c r="I11" s="37">
        <v>115808</v>
      </c>
      <c r="J11" s="37">
        <v>252454</v>
      </c>
      <c r="L11" s="36">
        <f t="shared" si="1"/>
        <v>7</v>
      </c>
      <c r="M11" s="23"/>
      <c r="N11" s="31">
        <f t="shared" ref="N11:N74" si="3">E11</f>
        <v>0</v>
      </c>
      <c r="O11" s="31"/>
      <c r="P11" s="23"/>
      <c r="Q11" s="31">
        <f t="shared" si="0"/>
        <v>0</v>
      </c>
    </row>
    <row r="12" spans="1:20">
      <c r="A12" s="24">
        <f>'[1]提取参考：第18年15%持续提取'!A12</f>
        <v>75</v>
      </c>
      <c r="B12" s="24">
        <v>49</v>
      </c>
      <c r="C12" s="24">
        <v>8</v>
      </c>
      <c r="D12" s="37">
        <v>250000</v>
      </c>
      <c r="E12" s="38">
        <v>0</v>
      </c>
      <c r="F12" s="37">
        <v>512296</v>
      </c>
      <c r="G12" s="37">
        <v>148566</v>
      </c>
      <c r="H12" s="37">
        <v>25850</v>
      </c>
      <c r="I12" s="37">
        <v>116778</v>
      </c>
      <c r="J12" s="37">
        <v>291194</v>
      </c>
      <c r="L12" s="36">
        <f t="shared" si="1"/>
        <v>8</v>
      </c>
      <c r="M12" s="23"/>
      <c r="N12" s="31">
        <f t="shared" si="3"/>
        <v>0</v>
      </c>
      <c r="O12" s="31"/>
      <c r="P12" s="23"/>
      <c r="Q12" s="31">
        <f t="shared" si="0"/>
        <v>0</v>
      </c>
    </row>
    <row r="13" spans="1:20">
      <c r="A13" s="24">
        <f>'[1]提取参考：第18年15%持续提取'!A13</f>
        <v>76</v>
      </c>
      <c r="B13" s="24">
        <v>50</v>
      </c>
      <c r="C13" s="24">
        <v>9</v>
      </c>
      <c r="D13" s="37">
        <v>250000</v>
      </c>
      <c r="E13" s="38">
        <v>0</v>
      </c>
      <c r="F13" s="37">
        <v>512296</v>
      </c>
      <c r="G13" s="37">
        <v>153177</v>
      </c>
      <c r="H13" s="37">
        <v>30387</v>
      </c>
      <c r="I13" s="37">
        <v>127531</v>
      </c>
      <c r="J13" s="37">
        <v>311095</v>
      </c>
      <c r="L13" s="36">
        <f t="shared" si="1"/>
        <v>9</v>
      </c>
      <c r="M13" s="23"/>
      <c r="N13" s="31">
        <f t="shared" si="3"/>
        <v>0</v>
      </c>
      <c r="O13" s="31"/>
      <c r="P13" s="23"/>
      <c r="Q13" s="31">
        <f t="shared" si="0"/>
        <v>0</v>
      </c>
    </row>
    <row r="14" spans="1:20">
      <c r="A14" s="24">
        <f>'[1]提取参考：第18年15%持续提取'!A14</f>
        <v>77</v>
      </c>
      <c r="B14" s="24">
        <v>51</v>
      </c>
      <c r="C14" s="39">
        <v>10</v>
      </c>
      <c r="D14" s="40">
        <v>250000</v>
      </c>
      <c r="E14" s="41">
        <v>0</v>
      </c>
      <c r="F14" s="40">
        <v>512296</v>
      </c>
      <c r="G14" s="40">
        <v>157275</v>
      </c>
      <c r="H14" s="40">
        <v>31337</v>
      </c>
      <c r="I14" s="40">
        <v>140257</v>
      </c>
      <c r="J14" s="40">
        <v>328869</v>
      </c>
      <c r="L14" s="36">
        <f t="shared" si="1"/>
        <v>10</v>
      </c>
      <c r="M14" s="23"/>
      <c r="N14" s="31">
        <f t="shared" si="3"/>
        <v>0</v>
      </c>
      <c r="O14" s="31"/>
      <c r="P14" s="23"/>
      <c r="Q14" s="31">
        <f t="shared" si="0"/>
        <v>0</v>
      </c>
    </row>
    <row r="15" spans="1:20">
      <c r="A15" s="24">
        <f>'[1]提取参考：第18年15%持续提取'!A15</f>
        <v>78</v>
      </c>
      <c r="B15" s="24">
        <v>52</v>
      </c>
      <c r="C15" s="33">
        <v>11</v>
      </c>
      <c r="D15" s="34">
        <v>250000</v>
      </c>
      <c r="E15" s="35">
        <v>0</v>
      </c>
      <c r="F15" s="34">
        <v>512296</v>
      </c>
      <c r="G15" s="34">
        <v>162398</v>
      </c>
      <c r="H15" s="34">
        <v>32310</v>
      </c>
      <c r="I15" s="34">
        <v>157936</v>
      </c>
      <c r="J15" s="34">
        <v>352643</v>
      </c>
      <c r="L15" s="36">
        <f t="shared" si="1"/>
        <v>11</v>
      </c>
      <c r="M15" s="23"/>
      <c r="N15" s="31">
        <f t="shared" si="3"/>
        <v>0</v>
      </c>
      <c r="O15" s="31"/>
      <c r="P15" s="23"/>
      <c r="Q15" s="31">
        <f t="shared" si="0"/>
        <v>0</v>
      </c>
    </row>
    <row r="16" spans="1:20">
      <c r="A16" s="24">
        <f>'[1]提取参考：第18年15%持续提取'!A16</f>
        <v>79</v>
      </c>
      <c r="B16" s="24">
        <v>53</v>
      </c>
      <c r="C16" s="24">
        <v>12</v>
      </c>
      <c r="D16" s="37">
        <v>250000</v>
      </c>
      <c r="E16" s="38">
        <v>0</v>
      </c>
      <c r="F16" s="37">
        <v>512296</v>
      </c>
      <c r="G16" s="37">
        <v>167008</v>
      </c>
      <c r="H16" s="37">
        <v>33306</v>
      </c>
      <c r="I16" s="37">
        <v>177321</v>
      </c>
      <c r="J16" s="37">
        <v>377635</v>
      </c>
      <c r="L16" s="36">
        <f t="shared" si="1"/>
        <v>12</v>
      </c>
      <c r="M16" s="23"/>
      <c r="N16" s="31">
        <f t="shared" si="3"/>
        <v>0</v>
      </c>
      <c r="O16" s="31"/>
      <c r="P16" s="23"/>
      <c r="Q16" s="31">
        <f t="shared" si="0"/>
        <v>0</v>
      </c>
    </row>
    <row r="17" spans="1:17">
      <c r="A17" s="24">
        <f>'[1]提取参考：第18年15%持续提取'!A17</f>
        <v>80</v>
      </c>
      <c r="B17" s="24">
        <v>54</v>
      </c>
      <c r="C17" s="24">
        <v>13</v>
      </c>
      <c r="D17" s="37">
        <v>250000</v>
      </c>
      <c r="E17" s="38">
        <v>0</v>
      </c>
      <c r="F17" s="37">
        <v>512296</v>
      </c>
      <c r="G17" s="37">
        <v>172131</v>
      </c>
      <c r="H17" s="37">
        <v>34327</v>
      </c>
      <c r="I17" s="37">
        <v>197878</v>
      </c>
      <c r="J17" s="37">
        <v>404336</v>
      </c>
      <c r="L17" s="36">
        <f t="shared" si="1"/>
        <v>13</v>
      </c>
      <c r="M17" s="23"/>
      <c r="N17" s="31">
        <f t="shared" si="3"/>
        <v>0</v>
      </c>
      <c r="O17" s="31"/>
      <c r="P17" s="23"/>
      <c r="Q17" s="31">
        <f t="shared" si="0"/>
        <v>0</v>
      </c>
    </row>
    <row r="18" spans="1:17">
      <c r="A18" s="24">
        <f>'[1]提取参考：第18年15%持续提取'!A18</f>
        <v>81</v>
      </c>
      <c r="B18" s="24">
        <v>55</v>
      </c>
      <c r="C18" s="24">
        <v>14</v>
      </c>
      <c r="D18" s="37">
        <v>250000</v>
      </c>
      <c r="E18" s="38">
        <v>0</v>
      </c>
      <c r="F18" s="37">
        <v>512296</v>
      </c>
      <c r="G18" s="37">
        <v>177254</v>
      </c>
      <c r="H18" s="37">
        <v>35373</v>
      </c>
      <c r="I18" s="37">
        <v>221258</v>
      </c>
      <c r="J18" s="37">
        <v>433886</v>
      </c>
      <c r="L18" s="36">
        <f t="shared" si="1"/>
        <v>14</v>
      </c>
      <c r="M18" s="23"/>
      <c r="N18" s="31">
        <f t="shared" si="3"/>
        <v>0</v>
      </c>
      <c r="O18" s="31"/>
      <c r="P18" s="23"/>
      <c r="Q18" s="31">
        <f t="shared" si="0"/>
        <v>0</v>
      </c>
    </row>
    <row r="19" spans="1:17">
      <c r="A19" s="24">
        <f>'[1]提取参考：第18年15%持续提取'!A19</f>
        <v>82</v>
      </c>
      <c r="B19" s="24">
        <v>56</v>
      </c>
      <c r="C19" s="39">
        <v>15</v>
      </c>
      <c r="D19" s="40">
        <v>250000</v>
      </c>
      <c r="E19" s="41">
        <v>0</v>
      </c>
      <c r="F19" s="40">
        <v>512296</v>
      </c>
      <c r="G19" s="40">
        <v>182377</v>
      </c>
      <c r="H19" s="40">
        <v>36444</v>
      </c>
      <c r="I19" s="40">
        <v>246384</v>
      </c>
      <c r="J19" s="40">
        <v>465206</v>
      </c>
      <c r="L19" s="36">
        <f t="shared" si="1"/>
        <v>15</v>
      </c>
      <c r="M19" s="23"/>
      <c r="N19" s="31">
        <f t="shared" si="3"/>
        <v>0</v>
      </c>
      <c r="O19" s="31"/>
      <c r="P19" s="23"/>
      <c r="Q19" s="31">
        <f t="shared" si="0"/>
        <v>0</v>
      </c>
    </row>
    <row r="20" spans="1:17">
      <c r="A20" s="24">
        <f>'[1]提取参考：第18年15%持续提取'!A20</f>
        <v>83</v>
      </c>
      <c r="B20" s="24">
        <v>57</v>
      </c>
      <c r="C20" s="33">
        <v>16</v>
      </c>
      <c r="D20" s="34">
        <v>250000</v>
      </c>
      <c r="E20" s="35">
        <v>0</v>
      </c>
      <c r="F20" s="34">
        <v>512296</v>
      </c>
      <c r="G20" s="34">
        <v>194672</v>
      </c>
      <c r="H20" s="34">
        <v>37542</v>
      </c>
      <c r="I20" s="34">
        <v>268321</v>
      </c>
      <c r="J20" s="34">
        <v>500536</v>
      </c>
      <c r="L20" s="36">
        <f t="shared" si="1"/>
        <v>16</v>
      </c>
      <c r="M20" s="23"/>
      <c r="N20" s="31">
        <f t="shared" si="3"/>
        <v>0</v>
      </c>
      <c r="O20" s="31"/>
      <c r="P20" s="23"/>
      <c r="Q20" s="31">
        <f t="shared" si="0"/>
        <v>0</v>
      </c>
    </row>
    <row r="21" spans="1:17">
      <c r="A21" s="24">
        <f>'[1]提取参考：第18年15%持续提取'!A21</f>
        <v>84</v>
      </c>
      <c r="B21" s="24">
        <v>58</v>
      </c>
      <c r="C21" s="24">
        <v>17</v>
      </c>
      <c r="D21" s="37">
        <v>250000</v>
      </c>
      <c r="E21" s="38">
        <v>0</v>
      </c>
      <c r="F21" s="37">
        <v>512296</v>
      </c>
      <c r="G21" s="37">
        <v>207480</v>
      </c>
      <c r="H21" s="37">
        <v>38667</v>
      </c>
      <c r="I21" s="37">
        <v>292561</v>
      </c>
      <c r="J21" s="37">
        <v>538708</v>
      </c>
      <c r="L21" s="36">
        <f t="shared" si="1"/>
        <v>17</v>
      </c>
      <c r="M21" s="23"/>
      <c r="N21" s="31">
        <f t="shared" si="3"/>
        <v>0</v>
      </c>
      <c r="O21" s="31"/>
      <c r="P21" s="23"/>
      <c r="Q21" s="31">
        <f t="shared" si="0"/>
        <v>0</v>
      </c>
    </row>
    <row r="22" spans="1:17">
      <c r="A22" s="24">
        <f>'[1]提取参考：第18年15%持续提取'!A22</f>
        <v>85</v>
      </c>
      <c r="B22" s="24">
        <v>59</v>
      </c>
      <c r="C22" s="24">
        <v>18</v>
      </c>
      <c r="D22" s="37">
        <v>250000</v>
      </c>
      <c r="E22" s="37">
        <v>22500</v>
      </c>
      <c r="F22" s="37">
        <v>512296</v>
      </c>
      <c r="G22" s="37">
        <v>250513</v>
      </c>
      <c r="H22" s="37">
        <v>25133</v>
      </c>
      <c r="I22" s="37">
        <v>285912</v>
      </c>
      <c r="J22" s="37">
        <v>561557</v>
      </c>
      <c r="L22" s="36">
        <f t="shared" si="1"/>
        <v>18</v>
      </c>
      <c r="M22" s="23"/>
      <c r="N22" s="31">
        <f t="shared" si="3"/>
        <v>22500</v>
      </c>
      <c r="O22" s="31"/>
      <c r="P22" s="23"/>
      <c r="Q22" s="31">
        <f t="shared" si="0"/>
        <v>22500</v>
      </c>
    </row>
    <row r="23" spans="1:17">
      <c r="A23" s="24">
        <f>'[1]提取参考：第18年15%持续提取'!A23</f>
        <v>86</v>
      </c>
      <c r="B23" s="24">
        <v>60</v>
      </c>
      <c r="C23" s="24">
        <v>19</v>
      </c>
      <c r="D23" s="37">
        <v>250000</v>
      </c>
      <c r="E23" s="37">
        <v>22950</v>
      </c>
      <c r="F23" s="37">
        <v>512296</v>
      </c>
      <c r="G23" s="37">
        <v>252562</v>
      </c>
      <c r="H23" s="37">
        <v>11681</v>
      </c>
      <c r="I23" s="37">
        <v>318578</v>
      </c>
      <c r="J23" s="37">
        <v>582821</v>
      </c>
      <c r="L23" s="36">
        <f t="shared" si="1"/>
        <v>19</v>
      </c>
      <c r="M23" s="23"/>
      <c r="N23" s="31">
        <f t="shared" si="3"/>
        <v>22950</v>
      </c>
      <c r="O23" s="31"/>
      <c r="P23" s="23"/>
      <c r="Q23" s="31">
        <f t="shared" si="0"/>
        <v>22950</v>
      </c>
    </row>
    <row r="24" spans="1:17">
      <c r="A24" s="24">
        <f>'[1]提取参考：第18年15%持续提取'!A24</f>
        <v>87</v>
      </c>
      <c r="B24" s="24">
        <v>61</v>
      </c>
      <c r="C24" s="39">
        <v>20</v>
      </c>
      <c r="D24" s="40">
        <v>248819</v>
      </c>
      <c r="E24" s="40">
        <v>23409</v>
      </c>
      <c r="F24" s="40">
        <v>509874</v>
      </c>
      <c r="G24" s="40">
        <v>251878</v>
      </c>
      <c r="H24" s="41">
        <v>0</v>
      </c>
      <c r="I24" s="40">
        <v>350793</v>
      </c>
      <c r="J24" s="40">
        <v>602671</v>
      </c>
      <c r="L24" s="36">
        <f t="shared" si="1"/>
        <v>20</v>
      </c>
      <c r="M24" s="23"/>
      <c r="N24" s="31">
        <f t="shared" si="3"/>
        <v>23409</v>
      </c>
      <c r="O24" s="31"/>
      <c r="P24" s="23"/>
      <c r="Q24" s="31">
        <f t="shared" si="0"/>
        <v>23409</v>
      </c>
    </row>
    <row r="25" spans="1:17">
      <c r="A25" s="24">
        <f>'[1]提取参考：第18年15%持续提取'!A25</f>
        <v>88</v>
      </c>
      <c r="B25" s="24">
        <v>62</v>
      </c>
      <c r="C25" s="33">
        <v>21</v>
      </c>
      <c r="D25" s="34">
        <v>240676</v>
      </c>
      <c r="E25" s="34">
        <v>23877</v>
      </c>
      <c r="F25" s="34">
        <v>491677</v>
      </c>
      <c r="G25" s="34">
        <v>243380</v>
      </c>
      <c r="H25" s="35">
        <v>0</v>
      </c>
      <c r="I25" s="34">
        <v>391867</v>
      </c>
      <c r="J25" s="34">
        <v>635247</v>
      </c>
      <c r="L25" s="36">
        <f t="shared" si="1"/>
        <v>21</v>
      </c>
      <c r="M25" s="23"/>
      <c r="N25" s="31">
        <f t="shared" si="3"/>
        <v>23877</v>
      </c>
      <c r="O25" s="31"/>
      <c r="P25" s="23"/>
      <c r="Q25" s="31">
        <f t="shared" si="0"/>
        <v>23877</v>
      </c>
    </row>
    <row r="26" spans="1:17">
      <c r="A26" s="24">
        <f>'[1]提取参考：第18年15%持续提取'!A26</f>
        <v>89</v>
      </c>
      <c r="B26" s="24">
        <v>63</v>
      </c>
      <c r="C26" s="24">
        <v>22</v>
      </c>
      <c r="D26" s="37">
        <v>232339</v>
      </c>
      <c r="E26" s="37">
        <v>24355</v>
      </c>
      <c r="F26" s="37">
        <v>474647</v>
      </c>
      <c r="G26" s="37">
        <v>235425</v>
      </c>
      <c r="H26" s="38">
        <v>0</v>
      </c>
      <c r="I26" s="37">
        <v>432878</v>
      </c>
      <c r="J26" s="37">
        <v>668302</v>
      </c>
      <c r="L26" s="36">
        <f t="shared" si="1"/>
        <v>22</v>
      </c>
      <c r="M26" s="23"/>
      <c r="N26" s="31">
        <f t="shared" si="3"/>
        <v>24355</v>
      </c>
      <c r="O26" s="31"/>
      <c r="P26" s="23"/>
      <c r="Q26" s="31">
        <f t="shared" si="0"/>
        <v>24355</v>
      </c>
    </row>
    <row r="27" spans="1:17">
      <c r="A27" s="24">
        <f>'[1]提取参考：第18年15%持续提取'!A27</f>
        <v>90</v>
      </c>
      <c r="B27" s="24">
        <v>64</v>
      </c>
      <c r="C27" s="24">
        <v>23</v>
      </c>
      <c r="D27" s="37">
        <v>224551</v>
      </c>
      <c r="E27" s="37">
        <v>24842</v>
      </c>
      <c r="F27" s="37">
        <v>458736</v>
      </c>
      <c r="G27" s="37">
        <v>227992</v>
      </c>
      <c r="H27" s="38">
        <v>0</v>
      </c>
      <c r="I27" s="37">
        <v>477085</v>
      </c>
      <c r="J27" s="37">
        <v>705077</v>
      </c>
      <c r="L27" s="36">
        <f t="shared" si="1"/>
        <v>23</v>
      </c>
      <c r="M27" s="23"/>
      <c r="N27" s="31">
        <f t="shared" si="3"/>
        <v>24842</v>
      </c>
      <c r="O27" s="31"/>
      <c r="P27" s="23"/>
      <c r="Q27" s="31">
        <f t="shared" si="0"/>
        <v>24842</v>
      </c>
    </row>
    <row r="28" spans="1:17">
      <c r="A28" s="24">
        <f>'[1]提取参考：第18年15%持续提取'!A28</f>
        <v>91</v>
      </c>
      <c r="B28" s="24">
        <v>65</v>
      </c>
      <c r="C28" s="24">
        <v>24</v>
      </c>
      <c r="D28" s="37">
        <v>217187</v>
      </c>
      <c r="E28" s="37">
        <v>25339</v>
      </c>
      <c r="F28" s="37">
        <v>443692</v>
      </c>
      <c r="G28" s="37">
        <v>220959</v>
      </c>
      <c r="H28" s="38">
        <v>0</v>
      </c>
      <c r="I28" s="37">
        <v>514683</v>
      </c>
      <c r="J28" s="37">
        <v>735641</v>
      </c>
      <c r="L28" s="36">
        <f t="shared" si="1"/>
        <v>24</v>
      </c>
      <c r="M28" s="23"/>
      <c r="N28" s="31">
        <f t="shared" si="3"/>
        <v>25339</v>
      </c>
      <c r="O28" s="31"/>
      <c r="P28" s="23"/>
      <c r="Q28" s="31">
        <f t="shared" si="0"/>
        <v>25339</v>
      </c>
    </row>
    <row r="29" spans="1:17">
      <c r="A29" s="24">
        <f>'[1]提取参考：第18年15%持续提取'!A29</f>
        <v>92</v>
      </c>
      <c r="B29" s="24">
        <v>66</v>
      </c>
      <c r="C29" s="39">
        <v>25</v>
      </c>
      <c r="D29" s="40">
        <v>210227</v>
      </c>
      <c r="E29" s="40">
        <v>25845</v>
      </c>
      <c r="F29" s="40">
        <v>429473</v>
      </c>
      <c r="G29" s="40">
        <v>214307</v>
      </c>
      <c r="H29" s="41">
        <v>0</v>
      </c>
      <c r="I29" s="40">
        <v>554020</v>
      </c>
      <c r="J29" s="40">
        <v>768326</v>
      </c>
      <c r="L29" s="36">
        <f t="shared" si="1"/>
        <v>25</v>
      </c>
      <c r="M29" s="23"/>
      <c r="N29" s="31">
        <f t="shared" si="3"/>
        <v>25845</v>
      </c>
      <c r="O29" s="31"/>
      <c r="P29" s="23"/>
      <c r="Q29" s="31">
        <f t="shared" si="0"/>
        <v>25845</v>
      </c>
    </row>
    <row r="30" spans="1:17">
      <c r="A30" s="24">
        <f>'[1]提取参考：第18年15%持续提取'!A30</f>
        <v>93</v>
      </c>
      <c r="B30" s="24">
        <v>67</v>
      </c>
      <c r="C30" s="33">
        <v>26</v>
      </c>
      <c r="D30" s="34">
        <v>203643</v>
      </c>
      <c r="E30" s="34">
        <v>26362</v>
      </c>
      <c r="F30" s="34">
        <v>416023</v>
      </c>
      <c r="G30" s="34">
        <v>208011</v>
      </c>
      <c r="H30" s="35">
        <v>0</v>
      </c>
      <c r="I30" s="34">
        <v>594497</v>
      </c>
      <c r="J30" s="34">
        <v>802508</v>
      </c>
      <c r="L30" s="36">
        <f t="shared" si="1"/>
        <v>26</v>
      </c>
      <c r="M30" s="23"/>
      <c r="N30" s="31">
        <f t="shared" si="3"/>
        <v>26362</v>
      </c>
      <c r="O30" s="31"/>
      <c r="P30" s="23"/>
      <c r="Q30" s="31">
        <f t="shared" si="0"/>
        <v>26362</v>
      </c>
    </row>
    <row r="31" spans="1:17">
      <c r="A31" s="24">
        <f>'[1]提取参考：第18年15%持续提取'!A31</f>
        <v>94</v>
      </c>
      <c r="B31" s="24">
        <v>68</v>
      </c>
      <c r="C31" s="24">
        <v>27</v>
      </c>
      <c r="D31" s="37">
        <v>197407</v>
      </c>
      <c r="E31" s="37">
        <v>26890</v>
      </c>
      <c r="F31" s="37">
        <v>403283</v>
      </c>
      <c r="G31" s="37">
        <v>202045</v>
      </c>
      <c r="H31" s="38">
        <v>0</v>
      </c>
      <c r="I31" s="37">
        <v>635573</v>
      </c>
      <c r="J31" s="37">
        <v>837618</v>
      </c>
      <c r="L31" s="36">
        <f t="shared" si="1"/>
        <v>27</v>
      </c>
      <c r="M31" s="23"/>
      <c r="N31" s="31">
        <f t="shared" si="3"/>
        <v>26890</v>
      </c>
      <c r="O31" s="31"/>
      <c r="P31" s="23"/>
      <c r="Q31" s="31">
        <f t="shared" si="0"/>
        <v>26890</v>
      </c>
    </row>
    <row r="32" spans="1:17">
      <c r="A32" s="24">
        <f>'[1]提取参考：第18年15%持续提取'!A32</f>
        <v>95</v>
      </c>
      <c r="B32" s="24">
        <v>69</v>
      </c>
      <c r="C32" s="24">
        <v>28</v>
      </c>
      <c r="D32" s="37">
        <v>191448</v>
      </c>
      <c r="E32" s="37">
        <v>27427</v>
      </c>
      <c r="F32" s="37">
        <v>391109</v>
      </c>
      <c r="G32" s="37">
        <v>196337</v>
      </c>
      <c r="H32" s="38">
        <v>0</v>
      </c>
      <c r="I32" s="37">
        <v>670752</v>
      </c>
      <c r="J32" s="37">
        <v>867088</v>
      </c>
      <c r="L32" s="36">
        <f t="shared" si="1"/>
        <v>28</v>
      </c>
      <c r="M32" s="23"/>
      <c r="N32" s="31">
        <f t="shared" si="3"/>
        <v>27427</v>
      </c>
      <c r="O32" s="31"/>
      <c r="P32" s="23"/>
      <c r="Q32" s="31">
        <f t="shared" si="0"/>
        <v>27427</v>
      </c>
    </row>
    <row r="33" spans="1:17">
      <c r="A33" s="24">
        <f>'[1]提取参考：第18年15%持续提取'!A33</f>
        <v>96</v>
      </c>
      <c r="B33" s="24">
        <v>70</v>
      </c>
      <c r="C33" s="24">
        <v>29</v>
      </c>
      <c r="D33" s="37">
        <v>185740</v>
      </c>
      <c r="E33" s="37">
        <v>27976</v>
      </c>
      <c r="F33" s="37">
        <v>379449</v>
      </c>
      <c r="G33" s="37">
        <v>190863</v>
      </c>
      <c r="H33" s="38">
        <v>0</v>
      </c>
      <c r="I33" s="37">
        <v>705016</v>
      </c>
      <c r="J33" s="37">
        <v>895879</v>
      </c>
      <c r="L33" s="36">
        <f t="shared" si="1"/>
        <v>29</v>
      </c>
      <c r="M33" s="23"/>
      <c r="N33" s="31">
        <f t="shared" si="3"/>
        <v>27976</v>
      </c>
      <c r="O33" s="31"/>
      <c r="P33" s="23"/>
      <c r="Q33" s="31">
        <f t="shared" si="0"/>
        <v>27976</v>
      </c>
    </row>
    <row r="34" spans="1:17">
      <c r="A34" s="24">
        <f>'[1]提取参考：第18年15%持续提取'!A34</f>
        <v>97</v>
      </c>
      <c r="B34" s="24">
        <v>71</v>
      </c>
      <c r="C34" s="39">
        <v>30</v>
      </c>
      <c r="D34" s="40">
        <v>180371</v>
      </c>
      <c r="E34" s="40">
        <v>28535</v>
      </c>
      <c r="F34" s="40">
        <v>368479</v>
      </c>
      <c r="G34" s="40">
        <v>185714</v>
      </c>
      <c r="H34" s="41">
        <v>0</v>
      </c>
      <c r="I34" s="40">
        <v>757225</v>
      </c>
      <c r="J34" s="40">
        <v>942939</v>
      </c>
      <c r="L34" s="36">
        <f t="shared" si="1"/>
        <v>30</v>
      </c>
      <c r="M34" s="23"/>
      <c r="N34" s="31">
        <f t="shared" si="3"/>
        <v>28535</v>
      </c>
      <c r="O34" s="31"/>
      <c r="P34" s="23"/>
      <c r="Q34" s="31">
        <f t="shared" si="0"/>
        <v>28535</v>
      </c>
    </row>
    <row r="35" spans="1:17">
      <c r="A35" s="24">
        <f>'[1]提取参考：第18年15%持续提取'!A35</f>
        <v>98</v>
      </c>
      <c r="B35" s="24">
        <v>72</v>
      </c>
      <c r="C35" s="33">
        <v>31</v>
      </c>
      <c r="D35" s="34">
        <v>175218</v>
      </c>
      <c r="E35" s="34">
        <v>29106</v>
      </c>
      <c r="F35" s="34">
        <v>357953</v>
      </c>
      <c r="G35" s="34">
        <v>180766</v>
      </c>
      <c r="H35" s="35">
        <v>0</v>
      </c>
      <c r="I35" s="34">
        <v>792866</v>
      </c>
      <c r="J35" s="34">
        <v>973632</v>
      </c>
      <c r="L35" s="36">
        <f t="shared" si="1"/>
        <v>31</v>
      </c>
      <c r="M35" s="23"/>
      <c r="N35" s="31">
        <f t="shared" si="3"/>
        <v>29106</v>
      </c>
      <c r="O35" s="31"/>
      <c r="P35" s="23"/>
      <c r="Q35" s="31">
        <f t="shared" si="0"/>
        <v>29106</v>
      </c>
    </row>
    <row r="36" spans="1:17">
      <c r="A36" s="24">
        <f>'[1]提取参考：第18年15%持续提取'!A36</f>
        <v>99</v>
      </c>
      <c r="B36" s="24">
        <v>73</v>
      </c>
      <c r="C36" s="24">
        <v>32</v>
      </c>
      <c r="D36" s="37">
        <v>170272</v>
      </c>
      <c r="E36" s="37">
        <v>29688</v>
      </c>
      <c r="F36" s="37">
        <v>347848</v>
      </c>
      <c r="G36" s="37">
        <v>176011</v>
      </c>
      <c r="H36" s="38">
        <v>0</v>
      </c>
      <c r="I36" s="37">
        <v>829269</v>
      </c>
      <c r="J36" s="37">
        <v>1005280</v>
      </c>
      <c r="L36" s="36">
        <f t="shared" si="1"/>
        <v>32</v>
      </c>
      <c r="M36" s="23"/>
      <c r="N36" s="31">
        <f t="shared" si="3"/>
        <v>29688</v>
      </c>
      <c r="O36" s="31"/>
      <c r="P36" s="23"/>
      <c r="Q36" s="31">
        <f t="shared" si="0"/>
        <v>29688</v>
      </c>
    </row>
    <row r="37" spans="1:17">
      <c r="A37" s="24">
        <f>'[1]提取参考：第18年15%持续提取'!A37</f>
        <v>100</v>
      </c>
      <c r="B37" s="24">
        <v>74</v>
      </c>
      <c r="C37" s="24">
        <v>33</v>
      </c>
      <c r="D37" s="37">
        <v>165527</v>
      </c>
      <c r="E37" s="37">
        <v>30282</v>
      </c>
      <c r="F37" s="37">
        <v>338155</v>
      </c>
      <c r="G37" s="37">
        <v>172121</v>
      </c>
      <c r="H37" s="38">
        <v>0</v>
      </c>
      <c r="I37" s="37">
        <v>867030</v>
      </c>
      <c r="J37" s="37">
        <v>1039151</v>
      </c>
      <c r="L37" s="36">
        <f t="shared" si="1"/>
        <v>33</v>
      </c>
      <c r="M37" s="23"/>
      <c r="N37" s="31">
        <f t="shared" si="3"/>
        <v>30282</v>
      </c>
      <c r="O37" s="31"/>
      <c r="P37" s="23"/>
      <c r="Q37" s="31">
        <f t="shared" si="0"/>
        <v>30282</v>
      </c>
    </row>
    <row r="38" spans="1:17">
      <c r="A38" s="24"/>
      <c r="B38" s="24">
        <v>75</v>
      </c>
      <c r="C38" s="24">
        <v>34</v>
      </c>
      <c r="D38" s="37">
        <v>160975</v>
      </c>
      <c r="E38" s="37">
        <v>30888</v>
      </c>
      <c r="F38" s="37">
        <v>328856</v>
      </c>
      <c r="G38" s="37">
        <v>168374</v>
      </c>
      <c r="H38" s="38">
        <v>0</v>
      </c>
      <c r="I38" s="37">
        <v>905998</v>
      </c>
      <c r="J38" s="37">
        <v>1074373</v>
      </c>
      <c r="L38" s="36">
        <f t="shared" si="1"/>
        <v>34</v>
      </c>
      <c r="M38" s="23"/>
      <c r="N38" s="31">
        <f t="shared" si="3"/>
        <v>30888</v>
      </c>
      <c r="O38" s="31"/>
      <c r="P38" s="23"/>
      <c r="Q38" s="31">
        <f t="shared" si="0"/>
        <v>30888</v>
      </c>
    </row>
    <row r="39" spans="1:17">
      <c r="A39" s="24"/>
      <c r="B39" s="24">
        <v>76</v>
      </c>
      <c r="C39" s="39">
        <v>35</v>
      </c>
      <c r="D39" s="40">
        <v>156608</v>
      </c>
      <c r="E39" s="40">
        <v>31505</v>
      </c>
      <c r="F39" s="40">
        <v>319934</v>
      </c>
      <c r="G39" s="40">
        <v>164766</v>
      </c>
      <c r="H39" s="41">
        <v>0</v>
      </c>
      <c r="I39" s="40">
        <v>946366</v>
      </c>
      <c r="J39" s="40">
        <v>1111133</v>
      </c>
      <c r="L39" s="36">
        <f t="shared" si="1"/>
        <v>35</v>
      </c>
      <c r="M39" s="23"/>
      <c r="N39" s="31">
        <f t="shared" si="3"/>
        <v>31505</v>
      </c>
      <c r="O39" s="31"/>
      <c r="P39" s="23"/>
      <c r="Q39" s="31">
        <f t="shared" si="0"/>
        <v>31505</v>
      </c>
    </row>
    <row r="40" spans="1:17">
      <c r="A40" s="24"/>
      <c r="B40" s="24">
        <v>77</v>
      </c>
      <c r="C40" s="33">
        <v>36</v>
      </c>
      <c r="D40" s="34">
        <v>152418</v>
      </c>
      <c r="E40" s="34">
        <v>32136</v>
      </c>
      <c r="F40" s="34">
        <v>311375</v>
      </c>
      <c r="G40" s="34">
        <v>160981</v>
      </c>
      <c r="H40" s="35">
        <v>0</v>
      </c>
      <c r="I40" s="34">
        <v>988616</v>
      </c>
      <c r="J40" s="34">
        <v>1149596</v>
      </c>
      <c r="L40" s="36">
        <f t="shared" si="1"/>
        <v>36</v>
      </c>
      <c r="M40" s="23"/>
      <c r="N40" s="31">
        <f t="shared" si="3"/>
        <v>32136</v>
      </c>
      <c r="O40" s="31"/>
      <c r="P40" s="23"/>
      <c r="Q40" s="31">
        <f t="shared" si="0"/>
        <v>32136</v>
      </c>
    </row>
    <row r="41" spans="1:17">
      <c r="A41" s="24"/>
      <c r="B41" s="24">
        <v>78</v>
      </c>
      <c r="C41" s="24">
        <v>37</v>
      </c>
      <c r="D41" s="37">
        <v>148398</v>
      </c>
      <c r="E41" s="37">
        <v>32778</v>
      </c>
      <c r="F41" s="37">
        <v>303162</v>
      </c>
      <c r="G41" s="37">
        <v>157947</v>
      </c>
      <c r="H41" s="38">
        <v>0</v>
      </c>
      <c r="I41" s="37">
        <v>1031659</v>
      </c>
      <c r="J41" s="37">
        <v>1189606</v>
      </c>
      <c r="L41" s="36">
        <f t="shared" si="1"/>
        <v>37</v>
      </c>
      <c r="M41" s="23"/>
      <c r="N41" s="31">
        <f t="shared" si="3"/>
        <v>32778</v>
      </c>
      <c r="O41" s="31"/>
      <c r="P41" s="23"/>
      <c r="Q41" s="31">
        <f t="shared" si="0"/>
        <v>32778</v>
      </c>
    </row>
    <row r="42" spans="1:17">
      <c r="A42" s="24"/>
      <c r="B42" s="24">
        <v>79</v>
      </c>
      <c r="C42" s="24">
        <v>38</v>
      </c>
      <c r="D42" s="37">
        <v>144540</v>
      </c>
      <c r="E42" s="37">
        <v>33434</v>
      </c>
      <c r="F42" s="37">
        <v>295281</v>
      </c>
      <c r="G42" s="37">
        <v>155022</v>
      </c>
      <c r="H42" s="38">
        <v>0</v>
      </c>
      <c r="I42" s="37">
        <v>1076594</v>
      </c>
      <c r="J42" s="37">
        <v>1231616</v>
      </c>
      <c r="L42" s="36">
        <f t="shared" si="1"/>
        <v>38</v>
      </c>
      <c r="M42" s="23"/>
      <c r="N42" s="31">
        <f t="shared" si="3"/>
        <v>33434</v>
      </c>
      <c r="O42" s="31"/>
      <c r="P42" s="23"/>
      <c r="Q42" s="31">
        <f t="shared" si="0"/>
        <v>33434</v>
      </c>
    </row>
    <row r="43" spans="1:17">
      <c r="A43" s="24"/>
      <c r="B43" s="24">
        <v>80</v>
      </c>
      <c r="C43" s="24">
        <v>39</v>
      </c>
      <c r="D43" s="37">
        <v>140837</v>
      </c>
      <c r="E43" s="37">
        <v>34102</v>
      </c>
      <c r="F43" s="37">
        <v>287717</v>
      </c>
      <c r="G43" s="37">
        <v>151627</v>
      </c>
      <c r="H43" s="38">
        <v>0</v>
      </c>
      <c r="I43" s="37">
        <v>1123535</v>
      </c>
      <c r="J43" s="37">
        <v>1275162</v>
      </c>
      <c r="L43" s="36">
        <f t="shared" si="1"/>
        <v>39</v>
      </c>
      <c r="M43" s="23"/>
      <c r="N43" s="31">
        <f t="shared" si="3"/>
        <v>34102</v>
      </c>
      <c r="O43" s="31"/>
      <c r="P43" s="23"/>
      <c r="Q43" s="31">
        <f t="shared" si="0"/>
        <v>34102</v>
      </c>
    </row>
    <row r="44" spans="1:17">
      <c r="A44" s="24"/>
      <c r="B44" s="24">
        <v>81</v>
      </c>
      <c r="C44" s="39">
        <v>40</v>
      </c>
      <c r="D44" s="40">
        <v>137914</v>
      </c>
      <c r="E44" s="40">
        <v>34785</v>
      </c>
      <c r="F44" s="40">
        <v>281746</v>
      </c>
      <c r="G44" s="40">
        <v>149832</v>
      </c>
      <c r="H44" s="41">
        <v>0</v>
      </c>
      <c r="I44" s="40">
        <v>1175442</v>
      </c>
      <c r="J44" s="40">
        <v>1325275</v>
      </c>
      <c r="L44" s="36">
        <f t="shared" si="1"/>
        <v>40</v>
      </c>
      <c r="M44" s="23"/>
      <c r="N44" s="31">
        <f t="shared" si="3"/>
        <v>34785</v>
      </c>
      <c r="O44" s="31"/>
      <c r="P44" s="23"/>
      <c r="Q44" s="31">
        <f t="shared" si="0"/>
        <v>34785</v>
      </c>
    </row>
    <row r="45" spans="1:17">
      <c r="A45" s="24"/>
      <c r="B45" s="24">
        <v>82</v>
      </c>
      <c r="C45" s="33">
        <v>41</v>
      </c>
      <c r="D45" s="34">
        <v>135113</v>
      </c>
      <c r="E45" s="34">
        <v>35480</v>
      </c>
      <c r="F45" s="34">
        <v>276023</v>
      </c>
      <c r="G45" s="34">
        <v>147148</v>
      </c>
      <c r="H45" s="35">
        <v>0</v>
      </c>
      <c r="I45" s="34">
        <v>1230512</v>
      </c>
      <c r="J45" s="34">
        <v>1377660</v>
      </c>
      <c r="L45" s="36">
        <f t="shared" si="1"/>
        <v>41</v>
      </c>
      <c r="M45" s="23"/>
      <c r="N45" s="31">
        <f t="shared" si="3"/>
        <v>35480</v>
      </c>
      <c r="O45" s="31"/>
      <c r="P45" s="23"/>
      <c r="Q45" s="31">
        <f t="shared" si="0"/>
        <v>35480</v>
      </c>
    </row>
    <row r="46" spans="1:17">
      <c r="A46" s="24"/>
      <c r="B46" s="24">
        <v>83</v>
      </c>
      <c r="C46" s="24">
        <v>42</v>
      </c>
      <c r="D46" s="37">
        <v>132431</v>
      </c>
      <c r="E46" s="37">
        <v>36190</v>
      </c>
      <c r="F46" s="37">
        <v>270543</v>
      </c>
      <c r="G46" s="37">
        <v>144578</v>
      </c>
      <c r="H46" s="38">
        <v>0</v>
      </c>
      <c r="I46" s="37">
        <v>1288596</v>
      </c>
      <c r="J46" s="37">
        <v>1433174</v>
      </c>
      <c r="L46" s="36">
        <f t="shared" si="1"/>
        <v>42</v>
      </c>
      <c r="M46" s="23"/>
      <c r="N46" s="31">
        <f t="shared" si="3"/>
        <v>36190</v>
      </c>
      <c r="O46" s="31"/>
      <c r="P46" s="23"/>
      <c r="Q46" s="31">
        <f t="shared" si="0"/>
        <v>36190</v>
      </c>
    </row>
    <row r="47" spans="1:17">
      <c r="A47" s="24"/>
      <c r="B47" s="24">
        <v>84</v>
      </c>
      <c r="C47" s="24">
        <v>43</v>
      </c>
      <c r="D47" s="37">
        <v>129861</v>
      </c>
      <c r="E47" s="37">
        <v>36914</v>
      </c>
      <c r="F47" s="37">
        <v>265293</v>
      </c>
      <c r="G47" s="37">
        <v>142118</v>
      </c>
      <c r="H47" s="38">
        <v>0</v>
      </c>
      <c r="I47" s="37">
        <v>1349017</v>
      </c>
      <c r="J47" s="37">
        <v>1491135</v>
      </c>
      <c r="L47" s="36">
        <f t="shared" si="1"/>
        <v>43</v>
      </c>
      <c r="M47" s="23"/>
      <c r="N47" s="31">
        <f t="shared" si="3"/>
        <v>36914</v>
      </c>
      <c r="O47" s="31"/>
      <c r="P47" s="23"/>
      <c r="Q47" s="31">
        <f t="shared" si="0"/>
        <v>36914</v>
      </c>
    </row>
    <row r="48" spans="1:17">
      <c r="A48" s="24"/>
      <c r="B48" s="24">
        <v>85</v>
      </c>
      <c r="C48" s="24">
        <v>44</v>
      </c>
      <c r="D48" s="37">
        <v>127401</v>
      </c>
      <c r="E48" s="37">
        <v>37652</v>
      </c>
      <c r="F48" s="37">
        <v>260268</v>
      </c>
      <c r="G48" s="37">
        <v>139764</v>
      </c>
      <c r="H48" s="38">
        <v>0</v>
      </c>
      <c r="I48" s="37">
        <v>1412733</v>
      </c>
      <c r="J48" s="37">
        <v>1552497</v>
      </c>
      <c r="L48" s="36">
        <f t="shared" si="1"/>
        <v>44</v>
      </c>
      <c r="M48" s="23"/>
      <c r="N48" s="31">
        <f t="shared" si="3"/>
        <v>37652</v>
      </c>
      <c r="O48" s="31"/>
      <c r="P48" s="23"/>
      <c r="Q48" s="31">
        <f t="shared" si="0"/>
        <v>37652</v>
      </c>
    </row>
    <row r="49" spans="1:17">
      <c r="A49" s="24"/>
      <c r="B49" s="24">
        <v>86</v>
      </c>
      <c r="C49" s="39">
        <v>45</v>
      </c>
      <c r="D49" s="40">
        <v>125046</v>
      </c>
      <c r="E49" s="40">
        <v>38405</v>
      </c>
      <c r="F49" s="40">
        <v>255458</v>
      </c>
      <c r="G49" s="40">
        <v>137513</v>
      </c>
      <c r="H49" s="41">
        <v>0</v>
      </c>
      <c r="I49" s="40">
        <v>1479610</v>
      </c>
      <c r="J49" s="40">
        <v>1617123</v>
      </c>
      <c r="L49" s="36">
        <f t="shared" si="1"/>
        <v>45</v>
      </c>
      <c r="M49" s="23"/>
      <c r="N49" s="31">
        <f t="shared" si="3"/>
        <v>38405</v>
      </c>
      <c r="O49" s="31"/>
      <c r="P49" s="23"/>
      <c r="Q49" s="31">
        <f t="shared" si="0"/>
        <v>38405</v>
      </c>
    </row>
    <row r="50" spans="1:17">
      <c r="A50" s="24"/>
      <c r="B50" s="24">
        <v>87</v>
      </c>
      <c r="C50" s="33">
        <v>46</v>
      </c>
      <c r="D50" s="34">
        <v>122793</v>
      </c>
      <c r="E50" s="34">
        <v>39173</v>
      </c>
      <c r="F50" s="34">
        <v>250854</v>
      </c>
      <c r="G50" s="34">
        <v>135361</v>
      </c>
      <c r="H50" s="35">
        <v>0</v>
      </c>
      <c r="I50" s="34">
        <v>1549779</v>
      </c>
      <c r="J50" s="34">
        <v>1685140</v>
      </c>
      <c r="L50" s="36">
        <f t="shared" si="1"/>
        <v>46</v>
      </c>
      <c r="M50" s="23"/>
      <c r="N50" s="31">
        <f t="shared" si="3"/>
        <v>39173</v>
      </c>
      <c r="O50" s="31"/>
      <c r="P50" s="23"/>
      <c r="Q50" s="31">
        <f t="shared" si="0"/>
        <v>39173</v>
      </c>
    </row>
    <row r="51" spans="1:17">
      <c r="A51" s="24"/>
      <c r="B51" s="24">
        <v>88</v>
      </c>
      <c r="C51" s="24">
        <v>47</v>
      </c>
      <c r="D51" s="37">
        <v>121007</v>
      </c>
      <c r="E51" s="37">
        <v>39957</v>
      </c>
      <c r="F51" s="37">
        <v>246450</v>
      </c>
      <c r="G51" s="37">
        <v>133305</v>
      </c>
      <c r="H51" s="38">
        <v>0</v>
      </c>
      <c r="I51" s="37">
        <v>1623368</v>
      </c>
      <c r="J51" s="37">
        <v>1756673</v>
      </c>
      <c r="L51" s="36">
        <f t="shared" si="1"/>
        <v>47</v>
      </c>
      <c r="M51" s="23"/>
      <c r="N51" s="31">
        <f t="shared" si="3"/>
        <v>39957</v>
      </c>
      <c r="O51" s="31"/>
      <c r="P51" s="23"/>
      <c r="Q51" s="31">
        <f t="shared" si="0"/>
        <v>39957</v>
      </c>
    </row>
    <row r="52" spans="1:17">
      <c r="A52" s="24"/>
      <c r="B52" s="24">
        <v>89</v>
      </c>
      <c r="C52" s="24">
        <v>48</v>
      </c>
      <c r="D52" s="37">
        <v>118939</v>
      </c>
      <c r="E52" s="37">
        <v>40756</v>
      </c>
      <c r="F52" s="37">
        <v>242238</v>
      </c>
      <c r="G52" s="37">
        <v>131535</v>
      </c>
      <c r="H52" s="38">
        <v>0</v>
      </c>
      <c r="I52" s="37">
        <v>1700754</v>
      </c>
      <c r="J52" s="37">
        <v>1832290</v>
      </c>
      <c r="L52" s="36">
        <f t="shared" si="1"/>
        <v>48</v>
      </c>
      <c r="M52" s="23"/>
      <c r="N52" s="31">
        <f t="shared" si="3"/>
        <v>40756</v>
      </c>
      <c r="O52" s="31"/>
      <c r="P52" s="23"/>
      <c r="Q52" s="31">
        <f t="shared" si="0"/>
        <v>40756</v>
      </c>
    </row>
    <row r="53" spans="1:17">
      <c r="A53" s="24"/>
      <c r="B53" s="24">
        <v>90</v>
      </c>
      <c r="C53" s="24">
        <v>49</v>
      </c>
      <c r="D53" s="37">
        <v>116968</v>
      </c>
      <c r="E53" s="37">
        <v>41571</v>
      </c>
      <c r="F53" s="37">
        <v>238225</v>
      </c>
      <c r="G53" s="37">
        <v>129713</v>
      </c>
      <c r="H53" s="38">
        <v>0</v>
      </c>
      <c r="I53" s="37">
        <v>1787640</v>
      </c>
      <c r="J53" s="37">
        <v>1917353</v>
      </c>
      <c r="L53" s="36">
        <f t="shared" si="1"/>
        <v>49</v>
      </c>
      <c r="M53" s="23"/>
      <c r="N53" s="31">
        <f t="shared" si="3"/>
        <v>41571</v>
      </c>
      <c r="O53" s="31"/>
      <c r="P53" s="23"/>
      <c r="Q53" s="31">
        <f t="shared" si="0"/>
        <v>41571</v>
      </c>
    </row>
    <row r="54" spans="1:17">
      <c r="A54" s="24"/>
      <c r="B54" s="24">
        <v>91</v>
      </c>
      <c r="C54" s="39">
        <v>50</v>
      </c>
      <c r="D54" s="40">
        <v>115084</v>
      </c>
      <c r="E54" s="40">
        <v>42402</v>
      </c>
      <c r="F54" s="40">
        <v>234387</v>
      </c>
      <c r="G54" s="40">
        <v>127975</v>
      </c>
      <c r="H54" s="41">
        <v>0</v>
      </c>
      <c r="I54" s="40">
        <v>1872987</v>
      </c>
      <c r="J54" s="40">
        <v>2000963</v>
      </c>
      <c r="L54" s="36">
        <f t="shared" si="1"/>
        <v>50</v>
      </c>
      <c r="M54" s="23"/>
      <c r="N54" s="31">
        <f t="shared" si="3"/>
        <v>42402</v>
      </c>
      <c r="O54" s="31"/>
      <c r="P54" s="23"/>
      <c r="Q54" s="31">
        <f t="shared" si="0"/>
        <v>42402</v>
      </c>
    </row>
    <row r="55" spans="1:17">
      <c r="A55" s="24"/>
      <c r="B55" s="24">
        <v>92</v>
      </c>
      <c r="C55" s="33">
        <v>51</v>
      </c>
      <c r="D55" s="34">
        <v>113282</v>
      </c>
      <c r="E55" s="34">
        <v>43250</v>
      </c>
      <c r="F55" s="34">
        <v>230717</v>
      </c>
      <c r="G55" s="34">
        <v>126318</v>
      </c>
      <c r="H55" s="35">
        <v>0</v>
      </c>
      <c r="I55" s="34">
        <v>1962482</v>
      </c>
      <c r="J55" s="34">
        <v>2088800</v>
      </c>
      <c r="L55" s="36">
        <f t="shared" si="1"/>
        <v>51</v>
      </c>
      <c r="M55" s="23"/>
      <c r="N55" s="31">
        <f t="shared" si="3"/>
        <v>43250</v>
      </c>
      <c r="O55" s="31"/>
      <c r="P55" s="23"/>
      <c r="Q55" s="31">
        <f t="shared" si="0"/>
        <v>43250</v>
      </c>
    </row>
    <row r="56" spans="1:17">
      <c r="A56" s="24"/>
      <c r="B56" s="24">
        <v>93</v>
      </c>
      <c r="C56" s="24">
        <v>52</v>
      </c>
      <c r="D56" s="37">
        <v>111560</v>
      </c>
      <c r="E56" s="37">
        <v>44115</v>
      </c>
      <c r="F56" s="37">
        <v>227210</v>
      </c>
      <c r="G56" s="37">
        <v>124738</v>
      </c>
      <c r="H56" s="38">
        <v>0</v>
      </c>
      <c r="I56" s="37">
        <v>2056932</v>
      </c>
      <c r="J56" s="37">
        <v>2181671</v>
      </c>
      <c r="L56" s="36">
        <f t="shared" si="1"/>
        <v>52</v>
      </c>
      <c r="M56" s="23"/>
      <c r="N56" s="31">
        <f t="shared" si="3"/>
        <v>44115</v>
      </c>
      <c r="O56" s="31"/>
      <c r="P56" s="23"/>
      <c r="Q56" s="31">
        <f t="shared" si="0"/>
        <v>44115</v>
      </c>
    </row>
    <row r="57" spans="1:17">
      <c r="A57" s="24"/>
      <c r="B57" s="24">
        <v>94</v>
      </c>
      <c r="C57" s="24">
        <v>53</v>
      </c>
      <c r="D57" s="37">
        <v>109915</v>
      </c>
      <c r="E57" s="37">
        <v>44998</v>
      </c>
      <c r="F57" s="37">
        <v>223859</v>
      </c>
      <c r="G57" s="37">
        <v>123234</v>
      </c>
      <c r="H57" s="38">
        <v>0</v>
      </c>
      <c r="I57" s="37">
        <v>2156433</v>
      </c>
      <c r="J57" s="37">
        <v>2279667</v>
      </c>
      <c r="L57" s="36">
        <f t="shared" si="1"/>
        <v>53</v>
      </c>
      <c r="M57" s="23"/>
      <c r="N57" s="31">
        <f t="shared" si="3"/>
        <v>44998</v>
      </c>
      <c r="O57" s="31"/>
      <c r="P57" s="23"/>
      <c r="Q57" s="31">
        <f t="shared" si="0"/>
        <v>44998</v>
      </c>
    </row>
    <row r="58" spans="1:17">
      <c r="A58" s="24"/>
      <c r="B58" s="24">
        <v>95</v>
      </c>
      <c r="C58" s="24">
        <v>54</v>
      </c>
      <c r="D58" s="37">
        <v>108343</v>
      </c>
      <c r="E58" s="37">
        <v>45897</v>
      </c>
      <c r="F58" s="37">
        <v>220659</v>
      </c>
      <c r="G58" s="37">
        <v>122024</v>
      </c>
      <c r="H58" s="38">
        <v>0</v>
      </c>
      <c r="I58" s="37">
        <v>2261309</v>
      </c>
      <c r="J58" s="37">
        <v>2383334</v>
      </c>
      <c r="L58" s="36">
        <f t="shared" si="1"/>
        <v>54</v>
      </c>
      <c r="M58" s="23"/>
      <c r="N58" s="31">
        <f t="shared" si="3"/>
        <v>45897</v>
      </c>
      <c r="O58" s="31"/>
      <c r="P58" s="23"/>
      <c r="Q58" s="31">
        <f t="shared" si="0"/>
        <v>45897</v>
      </c>
    </row>
    <row r="59" spans="1:17">
      <c r="A59" s="24"/>
      <c r="B59" s="24">
        <v>96</v>
      </c>
      <c r="C59" s="39">
        <v>55</v>
      </c>
      <c r="D59" s="40">
        <v>106843</v>
      </c>
      <c r="E59" s="40">
        <v>46815</v>
      </c>
      <c r="F59" s="40">
        <v>217603</v>
      </c>
      <c r="G59" s="40">
        <v>120661</v>
      </c>
      <c r="H59" s="41">
        <v>0</v>
      </c>
      <c r="I59" s="40">
        <v>2371874</v>
      </c>
      <c r="J59" s="40">
        <v>2492535</v>
      </c>
      <c r="L59" s="36">
        <f t="shared" si="1"/>
        <v>55</v>
      </c>
      <c r="M59" s="23"/>
      <c r="N59" s="31">
        <f t="shared" si="3"/>
        <v>46815</v>
      </c>
      <c r="O59" s="31"/>
      <c r="P59" s="23"/>
      <c r="Q59" s="31">
        <f t="shared" si="0"/>
        <v>46815</v>
      </c>
    </row>
    <row r="60" spans="1:17">
      <c r="A60" s="24"/>
      <c r="B60" s="24">
        <v>97</v>
      </c>
      <c r="C60" s="33">
        <v>56</v>
      </c>
      <c r="D60" s="34">
        <v>105411</v>
      </c>
      <c r="E60" s="34">
        <v>47752</v>
      </c>
      <c r="F60" s="34">
        <v>214687</v>
      </c>
      <c r="G60" s="34">
        <v>119366</v>
      </c>
      <c r="H60" s="35">
        <v>0</v>
      </c>
      <c r="I60" s="34">
        <v>2488655</v>
      </c>
      <c r="J60" s="34">
        <v>2608021</v>
      </c>
      <c r="L60" s="36">
        <f t="shared" si="1"/>
        <v>56</v>
      </c>
      <c r="M60" s="23"/>
      <c r="N60" s="31">
        <f t="shared" si="3"/>
        <v>47752</v>
      </c>
      <c r="O60" s="31"/>
      <c r="P60" s="23"/>
      <c r="Q60" s="31">
        <f t="shared" si="0"/>
        <v>47752</v>
      </c>
    </row>
    <row r="61" spans="1:17">
      <c r="A61" s="24"/>
      <c r="B61" s="24">
        <v>98</v>
      </c>
      <c r="C61" s="24">
        <v>57</v>
      </c>
      <c r="D61" s="37">
        <v>104046</v>
      </c>
      <c r="E61" s="37">
        <v>48707</v>
      </c>
      <c r="F61" s="37">
        <v>211906</v>
      </c>
      <c r="G61" s="37">
        <v>118138</v>
      </c>
      <c r="H61" s="38">
        <v>0</v>
      </c>
      <c r="I61" s="37">
        <v>2611953</v>
      </c>
      <c r="J61" s="37">
        <v>2730091</v>
      </c>
      <c r="L61" s="36">
        <f t="shared" si="1"/>
        <v>57</v>
      </c>
      <c r="M61" s="23"/>
      <c r="N61" s="31">
        <f t="shared" si="3"/>
        <v>48707</v>
      </c>
      <c r="O61" s="31"/>
      <c r="P61" s="23"/>
      <c r="Q61" s="31">
        <f t="shared" si="0"/>
        <v>48707</v>
      </c>
    </row>
    <row r="62" spans="1:17">
      <c r="A62" s="24"/>
      <c r="B62" s="24">
        <v>99</v>
      </c>
      <c r="C62" s="24">
        <v>58</v>
      </c>
      <c r="D62" s="37">
        <v>102744</v>
      </c>
      <c r="E62" s="37">
        <v>49681</v>
      </c>
      <c r="F62" s="37">
        <v>209254</v>
      </c>
      <c r="G62" s="37">
        <v>116973</v>
      </c>
      <c r="H62" s="38">
        <v>0</v>
      </c>
      <c r="I62" s="37">
        <v>2742280</v>
      </c>
      <c r="J62" s="37">
        <v>2859253</v>
      </c>
      <c r="L62" s="36">
        <f t="shared" si="1"/>
        <v>58</v>
      </c>
      <c r="M62" s="23"/>
      <c r="N62" s="31">
        <f t="shared" si="3"/>
        <v>49681</v>
      </c>
      <c r="O62" s="31"/>
      <c r="P62" s="23"/>
      <c r="Q62" s="31">
        <f t="shared" si="0"/>
        <v>49681</v>
      </c>
    </row>
    <row r="63" spans="1:17">
      <c r="A63" s="24"/>
      <c r="B63" s="24">
        <v>100</v>
      </c>
      <c r="C63" s="24">
        <v>59</v>
      </c>
      <c r="D63" s="37">
        <v>101503</v>
      </c>
      <c r="E63" s="37">
        <v>50675</v>
      </c>
      <c r="F63" s="37">
        <v>206728</v>
      </c>
      <c r="G63" s="37">
        <v>115871</v>
      </c>
      <c r="H63" s="38">
        <v>0</v>
      </c>
      <c r="I63" s="37">
        <v>2879715</v>
      </c>
      <c r="J63" s="37">
        <v>2995585</v>
      </c>
      <c r="L63" s="36">
        <f t="shared" si="1"/>
        <v>59</v>
      </c>
      <c r="M63" s="23"/>
      <c r="N63" s="31">
        <f t="shared" si="3"/>
        <v>50675</v>
      </c>
      <c r="O63" s="31"/>
      <c r="P63" s="23"/>
      <c r="Q63" s="31">
        <f t="shared" si="0"/>
        <v>50675</v>
      </c>
    </row>
    <row r="64" spans="1:17">
      <c r="A64" s="24"/>
      <c r="B64" s="24"/>
      <c r="C64" s="39">
        <v>60</v>
      </c>
      <c r="D64" s="40">
        <v>100322</v>
      </c>
      <c r="E64" s="40">
        <v>51688</v>
      </c>
      <c r="F64" s="40">
        <v>204321</v>
      </c>
      <c r="G64" s="40">
        <v>114828</v>
      </c>
      <c r="H64" s="41">
        <v>0</v>
      </c>
      <c r="I64" s="40">
        <v>3024969</v>
      </c>
      <c r="J64" s="40">
        <v>3139797</v>
      </c>
      <c r="L64" s="36">
        <f t="shared" si="1"/>
        <v>60</v>
      </c>
      <c r="M64" s="23"/>
      <c r="N64" s="31">
        <f t="shared" si="3"/>
        <v>51688</v>
      </c>
      <c r="O64" s="31"/>
      <c r="P64" s="23"/>
      <c r="Q64" s="31">
        <f t="shared" si="0"/>
        <v>51688</v>
      </c>
    </row>
    <row r="65" spans="1:17">
      <c r="A65" s="24"/>
      <c r="B65" s="24"/>
      <c r="C65" s="33">
        <v>61</v>
      </c>
      <c r="D65" s="34">
        <v>99197</v>
      </c>
      <c r="E65" s="34">
        <v>52722</v>
      </c>
      <c r="F65" s="34">
        <v>202030</v>
      </c>
      <c r="G65" s="34">
        <v>113844</v>
      </c>
      <c r="H65" s="35">
        <v>0</v>
      </c>
      <c r="I65" s="34">
        <v>3178533</v>
      </c>
      <c r="J65" s="34">
        <v>3292376</v>
      </c>
      <c r="L65" s="36">
        <f t="shared" si="1"/>
        <v>61</v>
      </c>
      <c r="M65" s="23"/>
      <c r="N65" s="31">
        <f t="shared" si="3"/>
        <v>52722</v>
      </c>
      <c r="O65" s="31"/>
      <c r="P65" s="23"/>
      <c r="Q65" s="31">
        <f t="shared" si="0"/>
        <v>52722</v>
      </c>
    </row>
    <row r="66" spans="1:17">
      <c r="A66" s="24"/>
      <c r="B66" s="24"/>
      <c r="C66" s="24">
        <v>62</v>
      </c>
      <c r="D66" s="37">
        <v>98126</v>
      </c>
      <c r="E66" s="37">
        <v>53776</v>
      </c>
      <c r="F66" s="37">
        <v>199850</v>
      </c>
      <c r="G66" s="37">
        <v>112915</v>
      </c>
      <c r="H66" s="38">
        <v>0</v>
      </c>
      <c r="I66" s="37">
        <v>3341095</v>
      </c>
      <c r="J66" s="37">
        <v>3454011</v>
      </c>
      <c r="L66" s="36">
        <f t="shared" si="1"/>
        <v>62</v>
      </c>
      <c r="M66" s="23"/>
      <c r="N66" s="31">
        <f t="shared" si="3"/>
        <v>53776</v>
      </c>
      <c r="O66" s="31"/>
      <c r="P66" s="23"/>
      <c r="Q66" s="31">
        <f t="shared" si="0"/>
        <v>53776</v>
      </c>
    </row>
    <row r="67" spans="1:17">
      <c r="A67" s="24"/>
      <c r="B67" s="24"/>
      <c r="C67" s="24">
        <v>63</v>
      </c>
      <c r="D67" s="37">
        <v>97109</v>
      </c>
      <c r="E67" s="37">
        <v>54852</v>
      </c>
      <c r="F67" s="37">
        <v>197778</v>
      </c>
      <c r="G67" s="37">
        <v>112140</v>
      </c>
      <c r="H67" s="38">
        <v>0</v>
      </c>
      <c r="I67" s="37">
        <v>3512734</v>
      </c>
      <c r="J67" s="37">
        <v>3624874</v>
      </c>
      <c r="L67" s="36">
        <f t="shared" si="1"/>
        <v>63</v>
      </c>
      <c r="M67" s="23"/>
      <c r="N67" s="31">
        <f t="shared" si="3"/>
        <v>54852</v>
      </c>
      <c r="O67" s="31"/>
      <c r="P67" s="23"/>
      <c r="Q67" s="31">
        <f t="shared" si="0"/>
        <v>54852</v>
      </c>
    </row>
    <row r="68" spans="1:17">
      <c r="A68" s="24"/>
      <c r="B68" s="24"/>
      <c r="C68" s="24">
        <v>64</v>
      </c>
      <c r="D68" s="37">
        <v>96142</v>
      </c>
      <c r="E68" s="37">
        <v>55949</v>
      </c>
      <c r="F68" s="37">
        <v>195809</v>
      </c>
      <c r="G68" s="37">
        <v>111415</v>
      </c>
      <c r="H68" s="38">
        <v>0</v>
      </c>
      <c r="I68" s="37">
        <v>3694329</v>
      </c>
      <c r="J68" s="37">
        <v>3805745</v>
      </c>
      <c r="L68" s="36">
        <f t="shared" si="1"/>
        <v>64</v>
      </c>
      <c r="M68" s="23"/>
      <c r="N68" s="31">
        <f t="shared" si="3"/>
        <v>55949</v>
      </c>
      <c r="O68" s="31"/>
      <c r="P68" s="23"/>
      <c r="Q68" s="31">
        <f t="shared" si="0"/>
        <v>55949</v>
      </c>
    </row>
    <row r="69" spans="1:17">
      <c r="A69" s="24"/>
      <c r="B69" s="24"/>
      <c r="C69" s="39">
        <v>65</v>
      </c>
      <c r="D69" s="40">
        <v>95224</v>
      </c>
      <c r="E69" s="40">
        <v>57068</v>
      </c>
      <c r="F69" s="40">
        <v>193940</v>
      </c>
      <c r="G69" s="40">
        <v>110740</v>
      </c>
      <c r="H69" s="41">
        <v>0</v>
      </c>
      <c r="I69" s="40">
        <v>3886749</v>
      </c>
      <c r="J69" s="40">
        <v>3997488</v>
      </c>
      <c r="L69" s="36">
        <f t="shared" si="1"/>
        <v>65</v>
      </c>
      <c r="M69" s="23"/>
      <c r="N69" s="31">
        <f t="shared" si="3"/>
        <v>57068</v>
      </c>
      <c r="O69" s="31"/>
      <c r="P69" s="23"/>
      <c r="Q69" s="31">
        <f t="shared" ref="Q69:Q103" si="4">M69+N69+P69+O69</f>
        <v>57068</v>
      </c>
    </row>
    <row r="70" spans="1:17">
      <c r="A70" s="24"/>
      <c r="B70" s="24"/>
      <c r="C70" s="33">
        <v>66</v>
      </c>
      <c r="D70" s="34">
        <v>94354</v>
      </c>
      <c r="E70" s="34">
        <v>58209</v>
      </c>
      <c r="F70" s="34">
        <v>192167</v>
      </c>
      <c r="G70" s="34">
        <v>110111</v>
      </c>
      <c r="H70" s="35">
        <v>0</v>
      </c>
      <c r="I70" s="34">
        <v>4090266</v>
      </c>
      <c r="J70" s="34">
        <v>4200377</v>
      </c>
      <c r="L70" s="36">
        <f t="shared" ref="L70:L104" si="5">C70</f>
        <v>66</v>
      </c>
      <c r="M70" s="23"/>
      <c r="N70" s="31">
        <f t="shared" si="3"/>
        <v>58209</v>
      </c>
      <c r="O70" s="31"/>
      <c r="P70" s="23"/>
      <c r="Q70" s="31">
        <f t="shared" si="4"/>
        <v>58209</v>
      </c>
    </row>
    <row r="71" spans="1:17">
      <c r="A71" s="24"/>
      <c r="B71" s="24"/>
      <c r="C71" s="24">
        <v>67</v>
      </c>
      <c r="D71" s="37">
        <v>93528</v>
      </c>
      <c r="E71" s="37">
        <v>59373</v>
      </c>
      <c r="F71" s="37">
        <v>190486</v>
      </c>
      <c r="G71" s="37">
        <v>109529</v>
      </c>
      <c r="H71" s="38">
        <v>0</v>
      </c>
      <c r="I71" s="37">
        <v>4305739</v>
      </c>
      <c r="J71" s="37">
        <v>4415268</v>
      </c>
      <c r="L71" s="36">
        <f t="shared" si="5"/>
        <v>67</v>
      </c>
      <c r="M71" s="23"/>
      <c r="N71" s="31">
        <f t="shared" si="3"/>
        <v>59373</v>
      </c>
      <c r="O71" s="31"/>
      <c r="P71" s="23"/>
      <c r="Q71" s="31">
        <f t="shared" si="4"/>
        <v>59373</v>
      </c>
    </row>
    <row r="72" spans="1:17">
      <c r="A72" s="24"/>
      <c r="B72" s="24"/>
      <c r="C72" s="24">
        <v>68</v>
      </c>
      <c r="D72" s="37">
        <v>92747</v>
      </c>
      <c r="E72" s="37">
        <v>60561</v>
      </c>
      <c r="F72" s="37">
        <v>188894</v>
      </c>
      <c r="G72" s="37">
        <v>109181</v>
      </c>
      <c r="H72" s="38">
        <v>0</v>
      </c>
      <c r="I72" s="37">
        <v>4533828</v>
      </c>
      <c r="J72" s="37">
        <v>4643009</v>
      </c>
      <c r="L72" s="36">
        <f t="shared" si="5"/>
        <v>68</v>
      </c>
      <c r="M72" s="23"/>
      <c r="N72" s="31">
        <f t="shared" si="3"/>
        <v>60561</v>
      </c>
      <c r="O72" s="31"/>
      <c r="P72" s="23"/>
      <c r="Q72" s="31">
        <f t="shared" si="4"/>
        <v>60561</v>
      </c>
    </row>
    <row r="73" spans="1:17">
      <c r="A73" s="24"/>
      <c r="B73" s="24"/>
      <c r="C73" s="24">
        <v>69</v>
      </c>
      <c r="D73" s="37">
        <v>92007</v>
      </c>
      <c r="E73" s="37">
        <v>61772</v>
      </c>
      <c r="F73" s="37">
        <v>187388</v>
      </c>
      <c r="G73" s="37">
        <v>108610</v>
      </c>
      <c r="H73" s="38">
        <v>0</v>
      </c>
      <c r="I73" s="37">
        <v>4775571</v>
      </c>
      <c r="J73" s="37">
        <v>4884181</v>
      </c>
      <c r="L73" s="36">
        <f t="shared" si="5"/>
        <v>69</v>
      </c>
      <c r="M73" s="23"/>
      <c r="N73" s="31">
        <f t="shared" si="3"/>
        <v>61772</v>
      </c>
      <c r="O73" s="31"/>
      <c r="P73" s="23"/>
      <c r="Q73" s="31">
        <f t="shared" si="4"/>
        <v>61772</v>
      </c>
    </row>
    <row r="74" spans="1:17">
      <c r="A74" s="24"/>
      <c r="B74" s="24"/>
      <c r="C74" s="39">
        <v>70</v>
      </c>
      <c r="D74" s="40">
        <v>91308</v>
      </c>
      <c r="E74" s="40">
        <v>63007</v>
      </c>
      <c r="F74" s="40">
        <v>185964</v>
      </c>
      <c r="G74" s="40">
        <v>108231</v>
      </c>
      <c r="H74" s="41">
        <v>0</v>
      </c>
      <c r="I74" s="40">
        <v>5031813</v>
      </c>
      <c r="J74" s="40">
        <v>5140044</v>
      </c>
      <c r="L74" s="36">
        <f t="shared" si="5"/>
        <v>70</v>
      </c>
      <c r="M74" s="23"/>
      <c r="N74" s="31">
        <f t="shared" si="3"/>
        <v>63007</v>
      </c>
      <c r="O74" s="31"/>
      <c r="P74" s="23"/>
      <c r="Q74" s="31">
        <f t="shared" si="4"/>
        <v>63007</v>
      </c>
    </row>
    <row r="75" spans="1:17">
      <c r="A75" s="24"/>
      <c r="B75" s="24"/>
      <c r="C75" s="33">
        <v>71</v>
      </c>
      <c r="D75" s="34">
        <v>90648</v>
      </c>
      <c r="E75" s="34">
        <v>64268</v>
      </c>
      <c r="F75" s="34">
        <v>184620</v>
      </c>
      <c r="G75" s="34">
        <v>108003</v>
      </c>
      <c r="H75" s="35">
        <v>0</v>
      </c>
      <c r="I75" s="34">
        <v>5303208</v>
      </c>
      <c r="J75" s="34">
        <v>5411211</v>
      </c>
      <c r="L75" s="36">
        <f t="shared" si="5"/>
        <v>71</v>
      </c>
      <c r="M75" s="23"/>
      <c r="N75" s="31">
        <f t="shared" ref="N75:N104" si="6">E75</f>
        <v>64268</v>
      </c>
      <c r="O75" s="31"/>
      <c r="P75" s="23"/>
      <c r="Q75" s="31">
        <f t="shared" si="4"/>
        <v>64268</v>
      </c>
    </row>
    <row r="76" spans="1:17">
      <c r="A76" s="24"/>
      <c r="B76" s="24"/>
      <c r="C76" s="24">
        <v>72</v>
      </c>
      <c r="D76" s="37">
        <v>90026</v>
      </c>
      <c r="E76" s="37">
        <v>65553</v>
      </c>
      <c r="F76" s="37">
        <v>183353</v>
      </c>
      <c r="G76" s="37">
        <v>107628</v>
      </c>
      <c r="H76" s="38">
        <v>0</v>
      </c>
      <c r="I76" s="37">
        <v>5590971</v>
      </c>
      <c r="J76" s="37">
        <v>5698599</v>
      </c>
      <c r="L76" s="36">
        <f t="shared" si="5"/>
        <v>72</v>
      </c>
      <c r="M76" s="23"/>
      <c r="N76" s="31">
        <f t="shared" si="6"/>
        <v>65553</v>
      </c>
      <c r="O76" s="31"/>
      <c r="P76" s="23"/>
      <c r="Q76" s="31">
        <f t="shared" si="4"/>
        <v>65553</v>
      </c>
    </row>
    <row r="77" spans="1:17">
      <c r="A77" s="24"/>
      <c r="B77" s="24"/>
      <c r="C77" s="24">
        <v>73</v>
      </c>
      <c r="D77" s="37">
        <v>89440</v>
      </c>
      <c r="E77" s="37">
        <v>66864</v>
      </c>
      <c r="F77" s="37">
        <v>182159</v>
      </c>
      <c r="G77" s="37">
        <v>107474</v>
      </c>
      <c r="H77" s="38">
        <v>0</v>
      </c>
      <c r="I77" s="37">
        <v>5896129</v>
      </c>
      <c r="J77" s="37">
        <v>6003603</v>
      </c>
      <c r="L77" s="36">
        <f t="shared" si="5"/>
        <v>73</v>
      </c>
      <c r="M77" s="23"/>
      <c r="N77" s="31">
        <f t="shared" si="6"/>
        <v>66864</v>
      </c>
      <c r="O77" s="31"/>
      <c r="P77" s="23"/>
      <c r="Q77" s="31">
        <f t="shared" si="4"/>
        <v>66864</v>
      </c>
    </row>
    <row r="78" spans="1:17">
      <c r="A78" s="24"/>
      <c r="B78" s="24"/>
      <c r="C78" s="24">
        <v>74</v>
      </c>
      <c r="D78" s="37">
        <v>88889</v>
      </c>
      <c r="E78" s="37">
        <v>68201</v>
      </c>
      <c r="F78" s="37">
        <v>181037</v>
      </c>
      <c r="G78" s="37">
        <v>107174</v>
      </c>
      <c r="H78" s="38">
        <v>0</v>
      </c>
      <c r="I78" s="37">
        <v>6219707</v>
      </c>
      <c r="J78" s="37">
        <v>6326881</v>
      </c>
      <c r="L78" s="36">
        <f t="shared" si="5"/>
        <v>74</v>
      </c>
      <c r="M78" s="23"/>
      <c r="N78" s="31">
        <f t="shared" si="6"/>
        <v>68201</v>
      </c>
      <c r="O78" s="31"/>
      <c r="P78" s="23"/>
      <c r="Q78" s="31">
        <f t="shared" si="4"/>
        <v>68201</v>
      </c>
    </row>
    <row r="79" spans="1:17">
      <c r="A79" s="24"/>
      <c r="B79" s="24"/>
      <c r="C79" s="39">
        <v>75</v>
      </c>
      <c r="D79" s="40">
        <v>88372</v>
      </c>
      <c r="E79" s="40">
        <v>69565</v>
      </c>
      <c r="F79" s="40">
        <v>179983</v>
      </c>
      <c r="G79" s="40">
        <v>106910</v>
      </c>
      <c r="H79" s="41">
        <v>0</v>
      </c>
      <c r="I79" s="40">
        <v>6562914</v>
      </c>
      <c r="J79" s="40">
        <v>6669825</v>
      </c>
      <c r="L79" s="36">
        <f t="shared" si="5"/>
        <v>75</v>
      </c>
      <c r="M79" s="23"/>
      <c r="N79" s="31">
        <f t="shared" si="6"/>
        <v>69565</v>
      </c>
      <c r="O79" s="31"/>
      <c r="P79" s="23"/>
      <c r="Q79" s="31">
        <f t="shared" si="4"/>
        <v>69565</v>
      </c>
    </row>
    <row r="80" spans="1:17">
      <c r="A80" s="24"/>
      <c r="B80" s="24"/>
      <c r="C80" s="33">
        <v>76</v>
      </c>
      <c r="D80" s="34">
        <v>87887</v>
      </c>
      <c r="E80" s="34">
        <v>70957</v>
      </c>
      <c r="F80" s="34">
        <v>178996</v>
      </c>
      <c r="G80" s="34">
        <v>106682</v>
      </c>
      <c r="H80" s="35">
        <v>0</v>
      </c>
      <c r="I80" s="34">
        <v>6927143</v>
      </c>
      <c r="J80" s="34">
        <v>7033824</v>
      </c>
      <c r="L80" s="36">
        <f t="shared" si="5"/>
        <v>76</v>
      </c>
      <c r="M80" s="23"/>
      <c r="N80" s="31">
        <f t="shared" si="6"/>
        <v>70957</v>
      </c>
      <c r="O80" s="31"/>
      <c r="P80" s="23"/>
      <c r="Q80" s="31">
        <f t="shared" si="4"/>
        <v>70957</v>
      </c>
    </row>
    <row r="81" spans="1:17">
      <c r="A81" s="24"/>
      <c r="B81" s="24"/>
      <c r="C81" s="24">
        <v>77</v>
      </c>
      <c r="D81" s="37">
        <v>87433</v>
      </c>
      <c r="E81" s="37">
        <v>72376</v>
      </c>
      <c r="F81" s="37">
        <v>178072</v>
      </c>
      <c r="G81" s="37">
        <v>106665</v>
      </c>
      <c r="H81" s="38">
        <v>0</v>
      </c>
      <c r="I81" s="37">
        <v>7313247</v>
      </c>
      <c r="J81" s="37">
        <v>7419913</v>
      </c>
      <c r="L81" s="36">
        <f t="shared" si="5"/>
        <v>77</v>
      </c>
      <c r="M81" s="23"/>
      <c r="N81" s="31">
        <f t="shared" si="6"/>
        <v>72376</v>
      </c>
      <c r="O81" s="31"/>
      <c r="P81" s="23"/>
      <c r="Q81" s="31">
        <f t="shared" si="4"/>
        <v>72376</v>
      </c>
    </row>
    <row r="82" spans="1:17">
      <c r="A82" s="24"/>
      <c r="B82" s="24"/>
      <c r="C82" s="24">
        <v>78</v>
      </c>
      <c r="D82" s="37">
        <v>87010</v>
      </c>
      <c r="E82" s="37">
        <v>73823</v>
      </c>
      <c r="F82" s="37">
        <v>177210</v>
      </c>
      <c r="G82" s="37">
        <v>106680</v>
      </c>
      <c r="H82" s="38">
        <v>0</v>
      </c>
      <c r="I82" s="37">
        <v>7723164</v>
      </c>
      <c r="J82" s="37">
        <v>7829844</v>
      </c>
      <c r="L82" s="36">
        <f t="shared" si="5"/>
        <v>78</v>
      </c>
      <c r="M82" s="23"/>
      <c r="N82" s="31">
        <f t="shared" si="6"/>
        <v>73823</v>
      </c>
      <c r="O82" s="31"/>
      <c r="P82" s="23"/>
      <c r="Q82" s="31">
        <f t="shared" si="4"/>
        <v>73823</v>
      </c>
    </row>
    <row r="83" spans="1:17">
      <c r="A83" s="24"/>
      <c r="B83" s="24"/>
      <c r="C83" s="24">
        <v>79</v>
      </c>
      <c r="D83" s="37">
        <v>86616</v>
      </c>
      <c r="E83" s="37">
        <v>75300</v>
      </c>
      <c r="F83" s="37">
        <v>176407</v>
      </c>
      <c r="G83" s="37">
        <v>106550</v>
      </c>
      <c r="H83" s="38">
        <v>0</v>
      </c>
      <c r="I83" s="37">
        <v>8158112</v>
      </c>
      <c r="J83" s="37">
        <v>8264662</v>
      </c>
      <c r="L83" s="36">
        <f t="shared" si="5"/>
        <v>79</v>
      </c>
      <c r="M83" s="23"/>
      <c r="N83" s="31">
        <f t="shared" si="6"/>
        <v>75300</v>
      </c>
      <c r="O83" s="31"/>
      <c r="P83" s="23"/>
      <c r="Q83" s="31">
        <f t="shared" si="4"/>
        <v>75300</v>
      </c>
    </row>
    <row r="84" spans="1:17">
      <c r="A84" s="24"/>
      <c r="B84" s="24"/>
      <c r="C84" s="39">
        <v>80</v>
      </c>
      <c r="D84" s="40">
        <v>86250</v>
      </c>
      <c r="E84" s="40">
        <v>76806</v>
      </c>
      <c r="F84" s="40">
        <v>175661</v>
      </c>
      <c r="G84" s="40">
        <v>106626</v>
      </c>
      <c r="H84" s="41">
        <v>0</v>
      </c>
      <c r="I84" s="40">
        <v>8619856</v>
      </c>
      <c r="J84" s="40">
        <v>8726482</v>
      </c>
      <c r="L84" s="36">
        <f t="shared" si="5"/>
        <v>80</v>
      </c>
      <c r="M84" s="23"/>
      <c r="N84" s="31">
        <f t="shared" si="6"/>
        <v>76806</v>
      </c>
      <c r="O84" s="31"/>
      <c r="P84" s="23"/>
      <c r="Q84" s="31">
        <f t="shared" si="4"/>
        <v>76806</v>
      </c>
    </row>
    <row r="85" spans="1:17">
      <c r="A85" s="24"/>
      <c r="B85" s="24"/>
      <c r="C85" s="33">
        <v>81</v>
      </c>
      <c r="D85" s="34">
        <v>85910</v>
      </c>
      <c r="E85" s="34">
        <v>78342</v>
      </c>
      <c r="F85" s="34">
        <v>174970</v>
      </c>
      <c r="G85" s="34">
        <v>106732</v>
      </c>
      <c r="H85" s="35">
        <v>0</v>
      </c>
      <c r="I85" s="34">
        <v>9109987</v>
      </c>
      <c r="J85" s="34">
        <v>9216719</v>
      </c>
      <c r="L85" s="36">
        <f t="shared" si="5"/>
        <v>81</v>
      </c>
      <c r="M85" s="23"/>
      <c r="N85" s="31">
        <f t="shared" si="6"/>
        <v>78342</v>
      </c>
      <c r="O85" s="31"/>
      <c r="P85" s="23"/>
      <c r="Q85" s="31">
        <f t="shared" si="4"/>
        <v>78342</v>
      </c>
    </row>
    <row r="86" spans="1:17">
      <c r="A86" s="24"/>
      <c r="B86" s="24"/>
      <c r="C86" s="24">
        <v>82</v>
      </c>
      <c r="D86" s="37">
        <v>85597</v>
      </c>
      <c r="E86" s="37">
        <v>79909</v>
      </c>
      <c r="F86" s="37">
        <v>174332</v>
      </c>
      <c r="G86" s="37">
        <v>106691</v>
      </c>
      <c r="H86" s="38">
        <v>0</v>
      </c>
      <c r="I86" s="37">
        <v>9630456</v>
      </c>
      <c r="J86" s="37">
        <v>9737147</v>
      </c>
      <c r="L86" s="36">
        <f t="shared" si="5"/>
        <v>82</v>
      </c>
      <c r="M86" s="23"/>
      <c r="N86" s="31">
        <f t="shared" si="6"/>
        <v>79909</v>
      </c>
      <c r="O86" s="31"/>
      <c r="P86" s="23"/>
      <c r="Q86" s="31">
        <f t="shared" si="4"/>
        <v>79909</v>
      </c>
    </row>
    <row r="87" spans="1:17">
      <c r="A87" s="24"/>
      <c r="B87" s="24"/>
      <c r="C87" s="24">
        <v>83</v>
      </c>
      <c r="D87" s="37">
        <v>85309</v>
      </c>
      <c r="E87" s="37">
        <v>81507</v>
      </c>
      <c r="F87" s="37">
        <v>173745</v>
      </c>
      <c r="G87" s="37">
        <v>106853</v>
      </c>
      <c r="H87" s="38">
        <v>0</v>
      </c>
      <c r="I87" s="37">
        <v>10183049</v>
      </c>
      <c r="J87" s="37">
        <v>10289903</v>
      </c>
      <c r="L87" s="36">
        <f t="shared" si="5"/>
        <v>83</v>
      </c>
      <c r="M87" s="23"/>
      <c r="N87" s="31">
        <f t="shared" si="6"/>
        <v>81507</v>
      </c>
      <c r="O87" s="31"/>
      <c r="P87" s="23"/>
      <c r="Q87" s="31">
        <f t="shared" si="4"/>
        <v>81507</v>
      </c>
    </row>
    <row r="88" spans="1:17">
      <c r="A88" s="24"/>
      <c r="B88" s="24"/>
      <c r="C88" s="24">
        <v>84</v>
      </c>
      <c r="D88" s="37">
        <v>85045</v>
      </c>
      <c r="E88" s="37">
        <v>83137</v>
      </c>
      <c r="F88" s="37">
        <v>173208</v>
      </c>
      <c r="G88" s="37">
        <v>107043</v>
      </c>
      <c r="H88" s="38">
        <v>0</v>
      </c>
      <c r="I88" s="37">
        <v>10770087</v>
      </c>
      <c r="J88" s="37">
        <v>10877130</v>
      </c>
      <c r="L88" s="36">
        <f t="shared" si="5"/>
        <v>84</v>
      </c>
      <c r="M88" s="23"/>
      <c r="N88" s="31">
        <f t="shared" si="6"/>
        <v>83137</v>
      </c>
      <c r="O88" s="31"/>
      <c r="P88" s="23"/>
      <c r="Q88" s="31">
        <f t="shared" si="4"/>
        <v>83137</v>
      </c>
    </row>
    <row r="89" spans="1:17">
      <c r="A89" s="24"/>
      <c r="B89" s="24"/>
      <c r="C89" s="39">
        <v>85</v>
      </c>
      <c r="D89" s="40">
        <v>84805</v>
      </c>
      <c r="E89" s="40">
        <v>84800</v>
      </c>
      <c r="F89" s="40">
        <v>172719</v>
      </c>
      <c r="G89" s="40">
        <v>107086</v>
      </c>
      <c r="H89" s="41">
        <v>0</v>
      </c>
      <c r="I89" s="40">
        <v>11393553</v>
      </c>
      <c r="J89" s="40">
        <v>11500638</v>
      </c>
      <c r="L89" s="36">
        <f t="shared" si="5"/>
        <v>85</v>
      </c>
      <c r="M89" s="23"/>
      <c r="N89" s="31">
        <f t="shared" si="6"/>
        <v>84800</v>
      </c>
      <c r="O89" s="31"/>
      <c r="P89" s="23"/>
      <c r="Q89" s="31">
        <f t="shared" si="4"/>
        <v>84800</v>
      </c>
    </row>
    <row r="90" spans="1:17">
      <c r="A90" s="24"/>
      <c r="B90" s="24"/>
      <c r="C90" s="33">
        <v>86</v>
      </c>
      <c r="D90" s="34">
        <v>84587</v>
      </c>
      <c r="E90" s="34">
        <v>86496</v>
      </c>
      <c r="F90" s="34">
        <v>172275</v>
      </c>
      <c r="G90" s="34">
        <v>107327</v>
      </c>
      <c r="H90" s="35">
        <v>0</v>
      </c>
      <c r="I90" s="34">
        <v>12055620</v>
      </c>
      <c r="J90" s="34">
        <v>12162947</v>
      </c>
      <c r="L90" s="36">
        <f t="shared" si="5"/>
        <v>86</v>
      </c>
      <c r="M90" s="23"/>
      <c r="N90" s="31">
        <f t="shared" si="6"/>
        <v>86496</v>
      </c>
      <c r="O90" s="31"/>
      <c r="P90" s="23"/>
      <c r="Q90" s="31">
        <f t="shared" si="4"/>
        <v>86496</v>
      </c>
    </row>
    <row r="91" spans="1:17">
      <c r="A91" s="24"/>
      <c r="B91" s="24"/>
      <c r="C91" s="24">
        <v>87</v>
      </c>
      <c r="D91" s="37">
        <v>84391</v>
      </c>
      <c r="E91" s="37">
        <v>88226</v>
      </c>
      <c r="F91" s="37">
        <v>171875</v>
      </c>
      <c r="G91" s="37">
        <v>107594</v>
      </c>
      <c r="H91" s="38">
        <v>0</v>
      </c>
      <c r="I91" s="37">
        <v>12759171</v>
      </c>
      <c r="J91" s="37">
        <v>12866765</v>
      </c>
      <c r="L91" s="36">
        <f t="shared" si="5"/>
        <v>87</v>
      </c>
      <c r="M91" s="23"/>
      <c r="N91" s="31">
        <f t="shared" si="6"/>
        <v>88226</v>
      </c>
      <c r="O91" s="31"/>
      <c r="P91" s="23"/>
      <c r="Q91" s="31">
        <f t="shared" si="4"/>
        <v>88226</v>
      </c>
    </row>
    <row r="92" spans="1:17">
      <c r="A92" s="24"/>
      <c r="B92" s="24"/>
      <c r="C92" s="24">
        <v>88</v>
      </c>
      <c r="D92" s="37">
        <v>84216</v>
      </c>
      <c r="E92" s="37">
        <v>89990</v>
      </c>
      <c r="F92" s="37">
        <v>171519</v>
      </c>
      <c r="G92" s="37">
        <v>107714</v>
      </c>
      <c r="H92" s="38">
        <v>0</v>
      </c>
      <c r="I92" s="37">
        <v>13506759</v>
      </c>
      <c r="J92" s="37">
        <v>13614472</v>
      </c>
      <c r="L92" s="36">
        <f t="shared" si="5"/>
        <v>88</v>
      </c>
      <c r="M92" s="23"/>
      <c r="N92" s="31">
        <f t="shared" si="6"/>
        <v>89990</v>
      </c>
      <c r="O92" s="31"/>
      <c r="P92" s="23"/>
      <c r="Q92" s="31">
        <f t="shared" si="4"/>
        <v>89990</v>
      </c>
    </row>
    <row r="93" spans="1:17">
      <c r="A93" s="24"/>
      <c r="B93" s="24"/>
      <c r="C93" s="24">
        <v>89</v>
      </c>
      <c r="D93" s="37">
        <v>84061</v>
      </c>
      <c r="E93" s="37">
        <v>91790</v>
      </c>
      <c r="F93" s="37">
        <v>171203</v>
      </c>
      <c r="G93" s="37">
        <v>108029</v>
      </c>
      <c r="H93" s="38">
        <v>0</v>
      </c>
      <c r="I93" s="37">
        <v>14300958</v>
      </c>
      <c r="J93" s="37">
        <v>14408987</v>
      </c>
      <c r="L93" s="36">
        <f t="shared" si="5"/>
        <v>89</v>
      </c>
      <c r="M93" s="23"/>
      <c r="N93" s="31">
        <f t="shared" si="6"/>
        <v>91790</v>
      </c>
      <c r="O93" s="31"/>
      <c r="P93" s="23"/>
      <c r="Q93" s="31">
        <f t="shared" si="4"/>
        <v>91790</v>
      </c>
    </row>
    <row r="94" spans="1:17">
      <c r="A94" s="24"/>
      <c r="B94" s="24"/>
      <c r="C94" s="39">
        <v>90</v>
      </c>
      <c r="D94" s="40">
        <v>83926</v>
      </c>
      <c r="E94" s="40">
        <v>93626</v>
      </c>
      <c r="F94" s="40">
        <v>170928</v>
      </c>
      <c r="G94" s="40">
        <v>108197</v>
      </c>
      <c r="H94" s="41">
        <v>0</v>
      </c>
      <c r="I94" s="40">
        <v>15145054</v>
      </c>
      <c r="J94" s="40">
        <v>15253251</v>
      </c>
      <c r="L94" s="36">
        <f t="shared" si="5"/>
        <v>90</v>
      </c>
      <c r="M94" s="23"/>
      <c r="N94" s="31">
        <f t="shared" si="6"/>
        <v>93626</v>
      </c>
      <c r="O94" s="31"/>
      <c r="P94" s="23"/>
      <c r="Q94" s="31">
        <f t="shared" si="4"/>
        <v>93626</v>
      </c>
    </row>
    <row r="95" spans="1:17">
      <c r="B95" s="33"/>
      <c r="C95" s="33">
        <v>91</v>
      </c>
      <c r="D95" s="34">
        <v>83809</v>
      </c>
      <c r="E95" s="34">
        <v>95498</v>
      </c>
      <c r="F95" s="34">
        <v>170691</v>
      </c>
      <c r="G95" s="34">
        <v>108901</v>
      </c>
      <c r="H95" s="35">
        <v>0</v>
      </c>
      <c r="I95" s="34">
        <v>16041844</v>
      </c>
      <c r="J95" s="34">
        <v>16150744</v>
      </c>
      <c r="L95" s="36">
        <f t="shared" si="5"/>
        <v>91</v>
      </c>
      <c r="M95" s="23"/>
      <c r="N95" s="31">
        <f t="shared" si="6"/>
        <v>95498</v>
      </c>
      <c r="O95" s="31"/>
      <c r="P95" s="23"/>
      <c r="Q95" s="31">
        <f t="shared" si="4"/>
        <v>95498</v>
      </c>
    </row>
    <row r="96" spans="1:17">
      <c r="B96" s="24"/>
      <c r="C96" s="24">
        <v>92</v>
      </c>
      <c r="D96" s="37">
        <v>83711</v>
      </c>
      <c r="E96" s="37">
        <v>97408</v>
      </c>
      <c r="F96" s="37">
        <v>170491</v>
      </c>
      <c r="G96" s="37">
        <v>109284</v>
      </c>
      <c r="H96" s="38">
        <v>0</v>
      </c>
      <c r="I96" s="37">
        <v>16995178</v>
      </c>
      <c r="J96" s="37">
        <v>17104462</v>
      </c>
      <c r="L96" s="36">
        <f t="shared" si="5"/>
        <v>92</v>
      </c>
      <c r="M96" s="23"/>
      <c r="N96" s="31">
        <f t="shared" si="6"/>
        <v>97408</v>
      </c>
      <c r="O96" s="31"/>
      <c r="P96" s="23"/>
      <c r="Q96" s="31">
        <f t="shared" si="4"/>
        <v>97408</v>
      </c>
    </row>
    <row r="97" spans="2:17">
      <c r="B97" s="24"/>
      <c r="C97" s="24">
        <v>93</v>
      </c>
      <c r="D97" s="37">
        <v>83630</v>
      </c>
      <c r="E97" s="37">
        <v>99356</v>
      </c>
      <c r="F97" s="37">
        <v>170326</v>
      </c>
      <c r="G97" s="37">
        <v>109860</v>
      </c>
      <c r="H97" s="38">
        <v>0</v>
      </c>
      <c r="I97" s="37">
        <v>18008426</v>
      </c>
      <c r="J97" s="37">
        <v>18118287</v>
      </c>
      <c r="L97" s="36">
        <f t="shared" si="5"/>
        <v>93</v>
      </c>
      <c r="M97" s="23"/>
      <c r="N97" s="31">
        <f t="shared" si="6"/>
        <v>99356</v>
      </c>
      <c r="O97" s="31"/>
      <c r="P97" s="23"/>
      <c r="Q97" s="31">
        <f t="shared" si="4"/>
        <v>99356</v>
      </c>
    </row>
    <row r="98" spans="2:17">
      <c r="B98" s="24"/>
      <c r="C98" s="24">
        <v>94</v>
      </c>
      <c r="D98" s="37">
        <v>83567</v>
      </c>
      <c r="E98" s="37">
        <v>101343</v>
      </c>
      <c r="F98" s="37">
        <v>170197</v>
      </c>
      <c r="G98" s="37">
        <v>110287</v>
      </c>
      <c r="H98" s="38">
        <v>0</v>
      </c>
      <c r="I98" s="37">
        <v>19085847</v>
      </c>
      <c r="J98" s="37">
        <v>19196135</v>
      </c>
      <c r="L98" s="36">
        <f t="shared" si="5"/>
        <v>94</v>
      </c>
      <c r="M98" s="23"/>
      <c r="N98" s="31">
        <f t="shared" si="6"/>
        <v>101343</v>
      </c>
      <c r="O98" s="31"/>
      <c r="P98" s="23"/>
      <c r="Q98" s="31">
        <f t="shared" si="4"/>
        <v>101343</v>
      </c>
    </row>
    <row r="99" spans="2:17">
      <c r="B99" s="39"/>
      <c r="C99" s="39">
        <v>95</v>
      </c>
      <c r="D99" s="40">
        <v>83519</v>
      </c>
      <c r="E99" s="40">
        <v>103370</v>
      </c>
      <c r="F99" s="40">
        <v>170100</v>
      </c>
      <c r="G99" s="40">
        <v>110650</v>
      </c>
      <c r="H99" s="41">
        <v>0</v>
      </c>
      <c r="I99" s="40">
        <v>20231224</v>
      </c>
      <c r="J99" s="40">
        <v>20341874</v>
      </c>
      <c r="L99" s="36">
        <f t="shared" si="5"/>
        <v>95</v>
      </c>
      <c r="M99" s="23"/>
      <c r="N99" s="31">
        <f t="shared" si="6"/>
        <v>103370</v>
      </c>
      <c r="O99" s="31"/>
      <c r="P99" s="23"/>
      <c r="Q99" s="31">
        <f t="shared" si="4"/>
        <v>103370</v>
      </c>
    </row>
    <row r="100" spans="2:17">
      <c r="B100" s="33"/>
      <c r="C100" s="33">
        <v>96</v>
      </c>
      <c r="D100" s="34">
        <v>83488</v>
      </c>
      <c r="E100" s="34">
        <v>105438</v>
      </c>
      <c r="F100" s="34">
        <v>170036</v>
      </c>
      <c r="G100" s="34">
        <v>111034</v>
      </c>
      <c r="H100" s="35">
        <v>0</v>
      </c>
      <c r="I100" s="34">
        <v>21448893</v>
      </c>
      <c r="J100" s="34">
        <v>21559926</v>
      </c>
      <c r="L100" s="36">
        <f t="shared" si="5"/>
        <v>96</v>
      </c>
      <c r="M100" s="23"/>
      <c r="N100" s="31">
        <f t="shared" si="6"/>
        <v>105438</v>
      </c>
      <c r="O100" s="31"/>
      <c r="P100" s="23"/>
      <c r="Q100" s="31">
        <f t="shared" si="4"/>
        <v>105438</v>
      </c>
    </row>
    <row r="101" spans="2:17">
      <c r="B101" s="24"/>
      <c r="C101" s="24">
        <v>97</v>
      </c>
      <c r="D101" s="37">
        <v>83472</v>
      </c>
      <c r="E101" s="37">
        <v>107546</v>
      </c>
      <c r="F101" s="37">
        <v>170003</v>
      </c>
      <c r="G101" s="37">
        <v>111522</v>
      </c>
      <c r="H101" s="38">
        <v>0</v>
      </c>
      <c r="I101" s="37">
        <v>22743748</v>
      </c>
      <c r="J101" s="37">
        <v>22855270</v>
      </c>
      <c r="L101" s="36">
        <f t="shared" si="5"/>
        <v>97</v>
      </c>
      <c r="M101" s="23"/>
      <c r="N101" s="31">
        <f t="shared" si="6"/>
        <v>107546</v>
      </c>
      <c r="O101" s="31"/>
      <c r="P101" s="23"/>
      <c r="Q101" s="31">
        <f t="shared" si="4"/>
        <v>107546</v>
      </c>
    </row>
    <row r="102" spans="2:17">
      <c r="B102" s="24"/>
      <c r="C102" s="24">
        <v>98</v>
      </c>
      <c r="D102" s="37">
        <v>83470</v>
      </c>
      <c r="E102" s="37">
        <v>109697</v>
      </c>
      <c r="F102" s="37">
        <v>170001</v>
      </c>
      <c r="G102" s="37">
        <v>112031</v>
      </c>
      <c r="H102" s="38">
        <v>0</v>
      </c>
      <c r="I102" s="37">
        <v>24120560</v>
      </c>
      <c r="J102" s="37">
        <v>24232591</v>
      </c>
      <c r="L102" s="36">
        <f t="shared" si="5"/>
        <v>98</v>
      </c>
      <c r="M102" s="23"/>
      <c r="N102" s="31">
        <f t="shared" si="6"/>
        <v>109697</v>
      </c>
      <c r="O102" s="31"/>
      <c r="P102" s="23"/>
      <c r="Q102" s="31">
        <f t="shared" si="4"/>
        <v>109697</v>
      </c>
    </row>
    <row r="103" spans="2:17">
      <c r="B103" s="24"/>
      <c r="C103" s="24">
        <v>99</v>
      </c>
      <c r="D103" s="37">
        <v>83470</v>
      </c>
      <c r="E103" s="37">
        <v>111891</v>
      </c>
      <c r="F103" s="37">
        <v>170001</v>
      </c>
      <c r="G103" s="37">
        <v>112541</v>
      </c>
      <c r="H103" s="38">
        <v>26</v>
      </c>
      <c r="I103" s="37">
        <v>25584658</v>
      </c>
      <c r="J103" s="37">
        <v>25697224</v>
      </c>
      <c r="L103" s="36">
        <f t="shared" si="5"/>
        <v>99</v>
      </c>
      <c r="M103" s="23"/>
      <c r="N103" s="31">
        <f t="shared" si="6"/>
        <v>111891</v>
      </c>
      <c r="O103" s="31"/>
      <c r="P103" s="23"/>
      <c r="Q103" s="31">
        <f t="shared" si="4"/>
        <v>111891</v>
      </c>
    </row>
    <row r="104" spans="2:17">
      <c r="B104" s="39"/>
      <c r="C104" s="39">
        <v>100</v>
      </c>
      <c r="D104" s="40">
        <v>83470</v>
      </c>
      <c r="E104" s="40">
        <v>114129</v>
      </c>
      <c r="F104" s="40">
        <v>170001</v>
      </c>
      <c r="G104" s="40">
        <v>113221</v>
      </c>
      <c r="H104" s="41">
        <v>81</v>
      </c>
      <c r="I104" s="40">
        <v>27141433</v>
      </c>
      <c r="J104" s="40">
        <v>27254735</v>
      </c>
      <c r="L104" s="36">
        <f t="shared" si="5"/>
        <v>100</v>
      </c>
      <c r="M104" s="23"/>
      <c r="N104" s="31">
        <f t="shared" si="6"/>
        <v>114129</v>
      </c>
      <c r="O104" s="31"/>
      <c r="P104" s="31">
        <f>J104</f>
        <v>27254735</v>
      </c>
      <c r="Q104" s="31">
        <f>M104+N104+P104+O104</f>
        <v>27368864</v>
      </c>
    </row>
    <row r="105" spans="2:17">
      <c r="P105" s="42" t="s">
        <v>19</v>
      </c>
      <c r="Q105" s="43">
        <f>IRR(Q4:Q104)</f>
        <v>6.5205035968181946E-2</v>
      </c>
    </row>
  </sheetData>
  <mergeCells count="9">
    <mergeCell ref="G1:J1"/>
    <mergeCell ref="H2:I2"/>
    <mergeCell ref="J2:J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5w5 18年调增提取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2026-04-12T12:12:10Z</dcterms:created>
  <dcterms:modified xsi:type="dcterms:W3CDTF">2026-04-12T12:12:51Z</dcterms:modified>
</cp:coreProperties>
</file>
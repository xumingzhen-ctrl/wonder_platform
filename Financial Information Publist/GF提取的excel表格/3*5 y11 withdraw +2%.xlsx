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rek/Projects/Financial Information Publist/"/>
    </mc:Choice>
  </mc:AlternateContent>
  <xr:revisionPtr revIDLastSave="0" documentId="8_{600CFFE3-9ADF-184B-9595-B3C7F513A4DB}" xr6:coauthVersionLast="47" xr6:coauthVersionMax="47" xr10:uidLastSave="{00000000-0000-0000-0000-000000000000}"/>
  <bookViews>
    <workbookView xWindow="3660" yWindow="2760" windowWidth="27640" windowHeight="16680" xr2:uid="{1C30BD3E-3787-2043-A30B-B05F4D0369B8}"/>
  </bookViews>
  <sheets>
    <sheet name="提取参考：第11年6.7%+2%通胀调增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" l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</calcChain>
</file>

<file path=xl/sharedStrings.xml><?xml version="1.0" encoding="utf-8"?>
<sst xmlns="http://schemas.openxmlformats.org/spreadsheetml/2006/main" count="12" uniqueCount="12">
  <si>
    <r>
      <rPr>
        <sz val="9"/>
        <rFont val="Microsoft JhengHei"/>
        <family val="2"/>
      </rPr>
      <t>年龄</t>
    </r>
  </si>
  <si>
    <r>
      <rPr>
        <sz val="9"/>
        <rFont val="Microsoft JhengHei"/>
        <family val="2"/>
      </rPr>
      <t>保单年度终结</t>
    </r>
  </si>
  <si>
    <r>
      <rPr>
        <sz val="9"/>
        <rFont val="Microsoft JhengHei"/>
        <family val="2"/>
      </rPr>
      <t>缴付保费总额</t>
    </r>
  </si>
  <si>
    <r>
      <rPr>
        <sz val="9"/>
        <rFont val="Microsoft JhengHei"/>
        <family val="2"/>
      </rPr>
      <t>现金提取</t>
    </r>
    <r>
      <rPr>
        <vertAlign val="subscript"/>
        <sz val="9"/>
        <rFont val="Microsoft JhengHei"/>
        <family val="2"/>
      </rPr>
      <t>金额</t>
    </r>
    <r>
      <rPr>
        <sz val="6"/>
        <rFont val="Microsoft JhengHei"/>
        <family val="2"/>
      </rPr>
      <t>(1),(2)</t>
    </r>
  </si>
  <si>
    <r>
      <rPr>
        <sz val="9"/>
        <rFont val="Microsoft JhengHei"/>
        <family val="2"/>
      </rPr>
      <t>现金提取后之基本金额</t>
    </r>
  </si>
  <si>
    <r>
      <rPr>
        <sz val="9"/>
        <rFont val="Microsoft JhengHei"/>
        <family val="2"/>
      </rPr>
      <t>现金提取后之退保发还金额</t>
    </r>
  </si>
  <si>
    <r>
      <rPr>
        <sz val="9"/>
        <rFont val="Microsoft JhengHei"/>
        <family val="2"/>
      </rPr>
      <t>保证金额</t>
    </r>
    <r>
      <rPr>
        <vertAlign val="superscript"/>
        <sz val="6"/>
        <rFont val="Microsoft JhengHei"/>
        <family val="2"/>
      </rPr>
      <t>(2)</t>
    </r>
  </si>
  <si>
    <r>
      <rPr>
        <sz val="9"/>
        <rFont val="Microsoft JhengHei"/>
        <family val="2"/>
      </rPr>
      <t>非保证金额</t>
    </r>
  </si>
  <si>
    <r>
      <rPr>
        <sz val="9"/>
        <rFont val="Microsoft JhengHei"/>
        <family val="2"/>
      </rPr>
      <t>总额 (A)+(B)+(C)</t>
    </r>
  </si>
  <si>
    <r>
      <rPr>
        <sz val="9"/>
        <rFont val="Microsoft JhengHei"/>
        <family val="2"/>
      </rPr>
      <t xml:space="preserve">保证现金价值
</t>
    </r>
    <r>
      <rPr>
        <sz val="9"/>
        <rFont val="Microsoft JhengHei"/>
        <family val="2"/>
      </rPr>
      <t>(A)</t>
    </r>
  </si>
  <si>
    <r>
      <rPr>
        <sz val="9"/>
        <rFont val="Microsoft JhengHei"/>
        <family val="2"/>
      </rPr>
      <t xml:space="preserve">复归红利
</t>
    </r>
    <r>
      <rPr>
        <sz val="9"/>
        <rFont val="Microsoft JhengHei"/>
        <family val="2"/>
      </rPr>
      <t>(B)</t>
    </r>
  </si>
  <si>
    <r>
      <rPr>
        <sz val="9"/>
        <rFont val="Microsoft JhengHei"/>
        <family val="2"/>
      </rPr>
      <t xml:space="preserve">终期分红
</t>
    </r>
    <r>
      <rPr>
        <sz val="9"/>
        <rFont val="Microsoft JhengHei"/>
        <family val="2"/>
      </rPr>
      <t>(C)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</si>
</sst>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9"/>
      <name val="Microsoft JhengHei"/>
      <family val="2"/>
      <charset val="136"/>
    </font>
    <font>
      <sz val="9"/>
      <name val="Microsoft JhengHei"/>
      <family val="2"/>
    </font>
    <font>
      <vertAlign val="subscript"/>
      <sz val="9"/>
      <name val="Microsoft JhengHei"/>
      <family val="2"/>
    </font>
    <font>
      <sz val="6"/>
      <name val="Microsoft JhengHei"/>
      <family val="2"/>
    </font>
    <font>
      <vertAlign val="superscript"/>
      <sz val="6"/>
      <name val="Microsoft JhengHei"/>
      <family val="2"/>
    </font>
    <font>
      <sz val="9"/>
      <color rgb="FF000000"/>
      <name val="Arial MT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3"/>
    </xf>
    <xf numFmtId="0" fontId="0" fillId="0" borderId="1" xfId="0" applyBorder="1" applyAlignment="1">
      <alignment horizontal="left" vertical="top" wrapText="1" indent="3"/>
    </xf>
    <xf numFmtId="0" fontId="2" fillId="0" borderId="1" xfId="0" applyFont="1" applyBorder="1" applyAlignment="1">
      <alignment horizontal="left" vertical="top" wrapText="1" indent="2"/>
    </xf>
    <xf numFmtId="0" fontId="2" fillId="0" borderId="2" xfId="0" applyFont="1" applyBorder="1" applyAlignment="1">
      <alignment horizontal="left" vertical="top" wrapText="1" indent="8"/>
    </xf>
    <xf numFmtId="0" fontId="2" fillId="0" borderId="3" xfId="0" applyFont="1" applyBorder="1" applyAlignment="1">
      <alignment horizontal="left" vertical="top" wrapText="1" indent="8"/>
    </xf>
    <xf numFmtId="0" fontId="2" fillId="0" borderId="4" xfId="0" applyFont="1" applyBorder="1" applyAlignment="1">
      <alignment horizontal="left" vertical="top" wrapText="1" indent="8"/>
    </xf>
    <xf numFmtId="0" fontId="2" fillId="0" borderId="5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 indent="3"/>
    </xf>
    <xf numFmtId="0" fontId="0" fillId="0" borderId="5" xfId="0" applyBorder="1" applyAlignment="1">
      <alignment horizontal="left" vertical="top" wrapText="1" indent="3"/>
    </xf>
    <xf numFmtId="0" fontId="2" fillId="0" borderId="5" xfId="0" applyFont="1" applyBorder="1" applyAlignment="1">
      <alignment horizontal="left" vertical="top" wrapText="1" indent="2"/>
    </xf>
    <xf numFmtId="0" fontId="0" fillId="0" borderId="6" xfId="0" applyBorder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 indent="4"/>
    </xf>
    <xf numFmtId="0" fontId="2" fillId="0" borderId="4" xfId="0" applyFont="1" applyBorder="1" applyAlignment="1">
      <alignment horizontal="left" vertical="top" wrapText="1" indent="4"/>
    </xf>
    <xf numFmtId="0" fontId="2" fillId="0" borderId="1" xfId="0" applyFont="1" applyBorder="1" applyAlignment="1">
      <alignment horizontal="left" vertical="top" wrapText="1" indent="1"/>
    </xf>
    <xf numFmtId="0" fontId="2" fillId="0" borderId="7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 indent="3"/>
    </xf>
    <xf numFmtId="0" fontId="0" fillId="0" borderId="7" xfId="0" applyBorder="1" applyAlignment="1">
      <alignment horizontal="left" vertical="top" wrapText="1" indent="3"/>
    </xf>
    <xf numFmtId="0" fontId="2" fillId="0" borderId="7" xfId="0" applyFont="1" applyBorder="1" applyAlignment="1">
      <alignment horizontal="left" vertical="top" wrapText="1" indent="2"/>
    </xf>
    <xf numFmtId="0" fontId="0" fillId="0" borderId="6" xfId="0" applyBorder="1" applyAlignment="1">
      <alignment horizontal="center" vertical="top" wrapText="1"/>
    </xf>
    <xf numFmtId="0" fontId="2" fillId="0" borderId="7" xfId="0" applyFont="1" applyBorder="1" applyAlignment="1">
      <alignment horizontal="left" vertical="top" wrapText="1" indent="1"/>
    </xf>
    <xf numFmtId="0" fontId="0" fillId="0" borderId="8" xfId="0" applyBorder="1"/>
    <xf numFmtId="0" fontId="2" fillId="0" borderId="5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 indent="3"/>
    </xf>
    <xf numFmtId="0" fontId="0" fillId="0" borderId="5" xfId="0" applyBorder="1" applyAlignment="1">
      <alignment horizontal="left" vertical="top" wrapText="1" indent="3"/>
    </xf>
    <xf numFmtId="0" fontId="2" fillId="0" borderId="5" xfId="0" applyFont="1" applyBorder="1" applyAlignment="1">
      <alignment horizontal="left" vertical="top" wrapText="1" indent="2"/>
    </xf>
    <xf numFmtId="0" fontId="0" fillId="0" borderId="1" xfId="0" applyBorder="1" applyAlignment="1">
      <alignment horizontal="center" vertical="top" wrapText="1"/>
    </xf>
    <xf numFmtId="0" fontId="2" fillId="0" borderId="5" xfId="0" applyFont="1" applyBorder="1" applyAlignment="1">
      <alignment horizontal="left" vertical="top" wrapText="1" indent="1"/>
    </xf>
    <xf numFmtId="3" fontId="0" fillId="0" borderId="8" xfId="0" applyNumberFormat="1" applyBorder="1"/>
    <xf numFmtId="9" fontId="0" fillId="0" borderId="0" xfId="0" applyNumberFormat="1"/>
    <xf numFmtId="1" fontId="7" fillId="0" borderId="5" xfId="0" applyNumberFormat="1" applyFont="1" applyBorder="1" applyAlignment="1">
      <alignment horizontal="center" vertical="top" shrinkToFit="1"/>
    </xf>
    <xf numFmtId="1" fontId="7" fillId="0" borderId="1" xfId="0" applyNumberFormat="1" applyFont="1" applyBorder="1" applyAlignment="1">
      <alignment horizontal="center" vertical="top" shrinkToFit="1"/>
    </xf>
    <xf numFmtId="3" fontId="7" fillId="0" borderId="1" xfId="0" applyNumberFormat="1" applyFont="1" applyBorder="1" applyAlignment="1">
      <alignment horizontal="right" vertical="top" shrinkToFit="1"/>
    </xf>
    <xf numFmtId="1" fontId="7" fillId="0" borderId="1" xfId="0" applyNumberFormat="1" applyFont="1" applyBorder="1" applyAlignment="1">
      <alignment horizontal="right" vertical="top" shrinkToFit="1"/>
    </xf>
    <xf numFmtId="1" fontId="7" fillId="0" borderId="8" xfId="0" applyNumberFormat="1" applyFont="1" applyBorder="1" applyAlignment="1">
      <alignment horizontal="right" vertical="top" shrinkToFit="1"/>
    </xf>
    <xf numFmtId="3" fontId="7" fillId="0" borderId="5" xfId="0" applyNumberFormat="1" applyFont="1" applyBorder="1" applyAlignment="1">
      <alignment horizontal="right" vertical="top" shrinkToFit="1"/>
    </xf>
    <xf numFmtId="1" fontId="7" fillId="0" borderId="5" xfId="0" applyNumberFormat="1" applyFont="1" applyBorder="1" applyAlignment="1">
      <alignment horizontal="right" vertical="top" shrinkToFit="1"/>
    </xf>
    <xf numFmtId="1" fontId="7" fillId="0" borderId="7" xfId="0" applyNumberFormat="1" applyFont="1" applyBorder="1" applyAlignment="1">
      <alignment horizontal="center" vertical="top" shrinkToFit="1"/>
    </xf>
    <xf numFmtId="3" fontId="7" fillId="0" borderId="7" xfId="0" applyNumberFormat="1" applyFont="1" applyBorder="1" applyAlignment="1">
      <alignment horizontal="right" vertical="top" shrinkToFit="1"/>
    </xf>
    <xf numFmtId="1" fontId="7" fillId="0" borderId="7" xfId="0" applyNumberFormat="1" applyFont="1" applyBorder="1" applyAlignment="1">
      <alignment horizontal="right" vertical="top" shrinkToFit="1"/>
    </xf>
    <xf numFmtId="0" fontId="8" fillId="0" borderId="0" xfId="0" applyFont="1" applyAlignment="1">
      <alignment horizontal="right"/>
    </xf>
    <xf numFmtId="10" fontId="8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rek/Library/Mobile%20Documents/com~apple~CloudDocs/AIA/&#23458;&#25143;&#36164;&#26009;/&#37325;&#28857;&#23458;&#25143;/&#20446;&#20339;&#31258;/&#25552;&#21462;&#26041;&#26696;Jan19.xlsx" TargetMode="External"/><Relationship Id="rId1" Type="http://schemas.openxmlformats.org/officeDocument/2006/relationships/externalLinkPath" Target="/Users/derek/Library/Mobile%20Documents/com~apple~CloudDocs/AIA/&#23458;&#25143;&#36164;&#26009;/&#37325;&#28857;&#23458;&#25143;/&#20446;&#20339;&#31258;/&#25552;&#21462;&#26041;&#26696;Jan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5w5完全提取 (80%达成)"/>
      <sheetName val="5w5完全提取"/>
      <sheetName val="5w5 18年调增提取"/>
      <sheetName val="5w5 18年提取80%达成"/>
      <sheetName val="不提取累积情况"/>
      <sheetName val="不提取累积情况 (80%非保证部分实现率）)"/>
      <sheetName val="提取参考：第10年9%持续提取"/>
      <sheetName val="提取参考：第11年6.7%+2%通胀调增"/>
      <sheetName val="提取参考：第15年9%通胀调增"/>
      <sheetName val="提取参考：第18年15%持续提取"/>
    </sheetNames>
    <sheetDataSet>
      <sheetData sheetId="0"/>
      <sheetData sheetId="1"/>
      <sheetData sheetId="2"/>
      <sheetData sheetId="3"/>
      <sheetData sheetId="4">
        <row r="4">
          <cell r="A4">
            <v>68</v>
          </cell>
        </row>
        <row r="5">
          <cell r="A5">
            <v>69</v>
          </cell>
        </row>
        <row r="6">
          <cell r="A6">
            <v>70</v>
          </cell>
        </row>
        <row r="7">
          <cell r="A7">
            <v>71</v>
          </cell>
        </row>
        <row r="8">
          <cell r="A8">
            <v>72</v>
          </cell>
        </row>
        <row r="9">
          <cell r="A9">
            <v>73</v>
          </cell>
        </row>
        <row r="10">
          <cell r="A10">
            <v>74</v>
          </cell>
        </row>
        <row r="11">
          <cell r="A11">
            <v>75</v>
          </cell>
        </row>
        <row r="12">
          <cell r="A12">
            <v>76</v>
          </cell>
        </row>
        <row r="13">
          <cell r="A13">
            <v>77</v>
          </cell>
        </row>
        <row r="14">
          <cell r="A14">
            <v>78</v>
          </cell>
        </row>
        <row r="15">
          <cell r="A15">
            <v>79</v>
          </cell>
        </row>
        <row r="16">
          <cell r="A16">
            <v>80</v>
          </cell>
        </row>
        <row r="17">
          <cell r="A17">
            <v>81</v>
          </cell>
        </row>
        <row r="18">
          <cell r="A18">
            <v>82</v>
          </cell>
        </row>
        <row r="19">
          <cell r="A19">
            <v>83</v>
          </cell>
        </row>
        <row r="20">
          <cell r="A20">
            <v>84</v>
          </cell>
        </row>
        <row r="21">
          <cell r="A21">
            <v>85</v>
          </cell>
        </row>
        <row r="22">
          <cell r="A22">
            <v>86</v>
          </cell>
        </row>
        <row r="23">
          <cell r="A23">
            <v>87</v>
          </cell>
        </row>
        <row r="24">
          <cell r="A24">
            <v>88</v>
          </cell>
        </row>
        <row r="25">
          <cell r="A25">
            <v>89</v>
          </cell>
        </row>
        <row r="26">
          <cell r="A26">
            <v>90</v>
          </cell>
        </row>
        <row r="27">
          <cell r="A27">
            <v>91</v>
          </cell>
        </row>
        <row r="28">
          <cell r="A28">
            <v>92</v>
          </cell>
        </row>
        <row r="29">
          <cell r="A29">
            <v>93</v>
          </cell>
        </row>
        <row r="30">
          <cell r="A30">
            <v>94</v>
          </cell>
        </row>
        <row r="31">
          <cell r="A31">
            <v>95</v>
          </cell>
        </row>
        <row r="32">
          <cell r="A32">
            <v>96</v>
          </cell>
        </row>
        <row r="33">
          <cell r="A33">
            <v>97</v>
          </cell>
        </row>
        <row r="34">
          <cell r="A34">
            <v>98</v>
          </cell>
        </row>
        <row r="35">
          <cell r="A35">
            <v>99</v>
          </cell>
        </row>
        <row r="36">
          <cell r="A36">
            <v>100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A57A7-A817-DE4C-896E-0C067A8F06F1}">
  <dimension ref="A1:T105"/>
  <sheetViews>
    <sheetView tabSelected="1" workbookViewId="0">
      <selection activeCell="L1" sqref="L1:T1048576"/>
    </sheetView>
  </sheetViews>
  <sheetFormatPr baseColWidth="10" defaultRowHeight="16"/>
  <sheetData>
    <row r="1" spans="1:20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/>
      <c r="H1" s="6"/>
      <c r="I1" s="7"/>
    </row>
    <row r="2" spans="1:20">
      <c r="A2" s="8"/>
      <c r="B2" s="8"/>
      <c r="C2" s="9"/>
      <c r="D2" s="10"/>
      <c r="E2" s="11"/>
      <c r="F2" s="12" t="s">
        <v>6</v>
      </c>
      <c r="G2" s="13" t="s">
        <v>7</v>
      </c>
      <c r="H2" s="14"/>
      <c r="I2" s="15" t="s">
        <v>8</v>
      </c>
    </row>
    <row r="3" spans="1:20" ht="30">
      <c r="A3" s="16"/>
      <c r="B3" s="16"/>
      <c r="C3" s="17"/>
      <c r="D3" s="18"/>
      <c r="E3" s="19"/>
      <c r="F3" s="20" t="s">
        <v>9</v>
      </c>
      <c r="G3" s="20" t="s">
        <v>10</v>
      </c>
      <c r="H3" s="20" t="s">
        <v>11</v>
      </c>
      <c r="I3" s="21"/>
      <c r="L3" s="22"/>
      <c r="M3" s="22"/>
      <c r="N3" s="22"/>
      <c r="O3" s="22"/>
      <c r="P3" s="22"/>
      <c r="Q3" s="22"/>
    </row>
    <row r="4" spans="1:20">
      <c r="A4" s="23"/>
      <c r="B4" s="23"/>
      <c r="C4" s="24"/>
      <c r="D4" s="25"/>
      <c r="E4" s="26"/>
      <c r="F4" s="27"/>
      <c r="G4" s="27"/>
      <c r="H4" s="27"/>
      <c r="I4" s="28"/>
      <c r="L4" s="22"/>
      <c r="M4" s="29"/>
      <c r="N4" s="22"/>
      <c r="O4" s="22"/>
      <c r="P4" s="22"/>
      <c r="Q4" s="29"/>
      <c r="T4" s="30"/>
    </row>
    <row r="5" spans="1:20">
      <c r="A5" s="31">
        <f>[1]不提取累积情况!A4</f>
        <v>68</v>
      </c>
      <c r="B5" s="32">
        <v>1</v>
      </c>
      <c r="C5" s="33">
        <v>30000</v>
      </c>
      <c r="D5" s="34">
        <v>0</v>
      </c>
      <c r="E5" s="33">
        <v>306436</v>
      </c>
      <c r="F5" s="34">
        <v>31</v>
      </c>
      <c r="G5" s="34">
        <v>0</v>
      </c>
      <c r="H5" s="34">
        <v>0</v>
      </c>
      <c r="I5" s="34">
        <v>31</v>
      </c>
      <c r="L5" s="35"/>
      <c r="M5" s="29"/>
      <c r="N5" s="22"/>
      <c r="O5" s="22"/>
      <c r="P5" s="22"/>
      <c r="Q5" s="29"/>
    </row>
    <row r="6" spans="1:20">
      <c r="A6" s="31">
        <f>[1]不提取累积情况!A5</f>
        <v>69</v>
      </c>
      <c r="B6" s="31">
        <v>2</v>
      </c>
      <c r="C6" s="36">
        <v>60000</v>
      </c>
      <c r="D6" s="37">
        <v>0</v>
      </c>
      <c r="E6" s="36">
        <v>306436</v>
      </c>
      <c r="F6" s="37">
        <v>31</v>
      </c>
      <c r="G6" s="37">
        <v>0</v>
      </c>
      <c r="H6" s="37">
        <v>0</v>
      </c>
      <c r="I6" s="37">
        <v>31</v>
      </c>
      <c r="L6" s="35"/>
      <c r="M6" s="29"/>
      <c r="N6" s="22"/>
      <c r="O6" s="22"/>
      <c r="P6" s="22"/>
      <c r="Q6" s="29"/>
    </row>
    <row r="7" spans="1:20">
      <c r="A7" s="31">
        <f>[1]不提取累积情况!A6</f>
        <v>70</v>
      </c>
      <c r="B7" s="31">
        <v>3</v>
      </c>
      <c r="C7" s="36">
        <v>90000</v>
      </c>
      <c r="D7" s="37">
        <v>0</v>
      </c>
      <c r="E7" s="36">
        <v>306436</v>
      </c>
      <c r="F7" s="36">
        <v>7967</v>
      </c>
      <c r="G7" s="36">
        <v>2482</v>
      </c>
      <c r="H7" s="36">
        <v>4634</v>
      </c>
      <c r="I7" s="36">
        <v>15083</v>
      </c>
      <c r="L7" s="35"/>
      <c r="M7" s="29"/>
      <c r="N7" s="22"/>
      <c r="O7" s="22"/>
      <c r="P7" s="22"/>
      <c r="Q7" s="29"/>
    </row>
    <row r="8" spans="1:20">
      <c r="A8" s="31">
        <f>[1]不提取累积情况!A7</f>
        <v>71</v>
      </c>
      <c r="B8" s="31">
        <v>4</v>
      </c>
      <c r="C8" s="36">
        <v>120000</v>
      </c>
      <c r="D8" s="37">
        <v>0</v>
      </c>
      <c r="E8" s="36">
        <v>306436</v>
      </c>
      <c r="F8" s="36">
        <v>22370</v>
      </c>
      <c r="G8" s="36">
        <v>5001</v>
      </c>
      <c r="H8" s="36">
        <v>10277</v>
      </c>
      <c r="I8" s="36">
        <v>37649</v>
      </c>
      <c r="L8" s="35"/>
      <c r="M8" s="29"/>
      <c r="N8" s="22"/>
      <c r="O8" s="22"/>
      <c r="P8" s="22"/>
      <c r="Q8" s="29"/>
    </row>
    <row r="9" spans="1:20">
      <c r="A9" s="38">
        <f>[1]不提取累积情况!A8</f>
        <v>72</v>
      </c>
      <c r="B9" s="38">
        <v>5</v>
      </c>
      <c r="C9" s="39">
        <v>150000</v>
      </c>
      <c r="D9" s="40">
        <v>0</v>
      </c>
      <c r="E9" s="39">
        <v>306436</v>
      </c>
      <c r="F9" s="39">
        <v>42288</v>
      </c>
      <c r="G9" s="39">
        <v>7559</v>
      </c>
      <c r="H9" s="39">
        <v>20410</v>
      </c>
      <c r="I9" s="39">
        <v>70256</v>
      </c>
      <c r="L9" s="35"/>
      <c r="M9" s="22"/>
      <c r="N9" s="22"/>
      <c r="O9" s="22"/>
      <c r="P9" s="22"/>
      <c r="Q9" s="29"/>
    </row>
    <row r="10" spans="1:20">
      <c r="A10" s="31">
        <f>[1]不提取累积情况!A9</f>
        <v>73</v>
      </c>
      <c r="B10" s="32">
        <v>6</v>
      </c>
      <c r="C10" s="33">
        <v>150000</v>
      </c>
      <c r="D10" s="34">
        <v>0</v>
      </c>
      <c r="E10" s="33">
        <v>306436</v>
      </c>
      <c r="F10" s="33">
        <v>55771</v>
      </c>
      <c r="G10" s="33">
        <v>10154</v>
      </c>
      <c r="H10" s="33">
        <v>65534</v>
      </c>
      <c r="I10" s="33">
        <v>131460</v>
      </c>
      <c r="L10" s="35"/>
      <c r="M10" s="22"/>
      <c r="N10" s="29"/>
      <c r="O10" s="29"/>
      <c r="P10" s="22"/>
      <c r="Q10" s="29"/>
    </row>
    <row r="11" spans="1:20">
      <c r="A11" s="31">
        <f>[1]不提取累积情况!A10</f>
        <v>74</v>
      </c>
      <c r="B11" s="31">
        <v>7</v>
      </c>
      <c r="C11" s="36">
        <v>150000</v>
      </c>
      <c r="D11" s="37">
        <v>0</v>
      </c>
      <c r="E11" s="36">
        <v>306436</v>
      </c>
      <c r="F11" s="36">
        <v>68948</v>
      </c>
      <c r="G11" s="36">
        <v>12789</v>
      </c>
      <c r="H11" s="36">
        <v>69272</v>
      </c>
      <c r="I11" s="36">
        <v>151008</v>
      </c>
      <c r="L11" s="35"/>
      <c r="M11" s="22"/>
      <c r="N11" s="29"/>
      <c r="O11" s="29"/>
      <c r="P11" s="22"/>
      <c r="Q11" s="29"/>
    </row>
    <row r="12" spans="1:20">
      <c r="A12" s="31">
        <f>[1]不提取累积情况!A11</f>
        <v>75</v>
      </c>
      <c r="B12" s="31">
        <v>8</v>
      </c>
      <c r="C12" s="36">
        <v>150000</v>
      </c>
      <c r="D12" s="37">
        <v>0</v>
      </c>
      <c r="E12" s="36">
        <v>306436</v>
      </c>
      <c r="F12" s="36">
        <v>88866</v>
      </c>
      <c r="G12" s="36">
        <v>15463</v>
      </c>
      <c r="H12" s="36">
        <v>69852</v>
      </c>
      <c r="I12" s="36">
        <v>174181</v>
      </c>
      <c r="L12" s="35"/>
      <c r="M12" s="22"/>
      <c r="N12" s="29"/>
      <c r="O12" s="29"/>
      <c r="P12" s="22"/>
      <c r="Q12" s="29"/>
    </row>
    <row r="13" spans="1:20">
      <c r="A13" s="31">
        <f>[1]不提取累积情况!A12</f>
        <v>76</v>
      </c>
      <c r="B13" s="31">
        <v>9</v>
      </c>
      <c r="C13" s="36">
        <v>150000</v>
      </c>
      <c r="D13" s="37">
        <v>0</v>
      </c>
      <c r="E13" s="36">
        <v>306436</v>
      </c>
      <c r="F13" s="36">
        <v>91624</v>
      </c>
      <c r="G13" s="36">
        <v>18177</v>
      </c>
      <c r="H13" s="36">
        <v>76284</v>
      </c>
      <c r="I13" s="36">
        <v>186085</v>
      </c>
      <c r="L13" s="35"/>
      <c r="M13" s="22"/>
      <c r="N13" s="29"/>
      <c r="O13" s="29"/>
      <c r="P13" s="22"/>
      <c r="Q13" s="29"/>
    </row>
    <row r="14" spans="1:20">
      <c r="A14" s="38">
        <f>[1]不提取累积情况!A13</f>
        <v>77</v>
      </c>
      <c r="B14" s="38">
        <v>10</v>
      </c>
      <c r="C14" s="39">
        <v>150000</v>
      </c>
      <c r="D14" s="40">
        <v>0</v>
      </c>
      <c r="E14" s="39">
        <v>306436</v>
      </c>
      <c r="F14" s="39">
        <v>94076</v>
      </c>
      <c r="G14" s="39">
        <v>18745</v>
      </c>
      <c r="H14" s="39">
        <v>83897</v>
      </c>
      <c r="I14" s="39">
        <v>196717</v>
      </c>
      <c r="L14" s="35"/>
      <c r="M14" s="22"/>
      <c r="N14" s="29"/>
      <c r="O14" s="29"/>
      <c r="P14" s="22"/>
      <c r="Q14" s="29"/>
    </row>
    <row r="15" spans="1:20">
      <c r="A15" s="31">
        <f>[1]不提取累积情况!A14</f>
        <v>78</v>
      </c>
      <c r="B15" s="32">
        <v>11</v>
      </c>
      <c r="C15" s="33">
        <v>150000</v>
      </c>
      <c r="D15" s="33">
        <v>10000</v>
      </c>
      <c r="E15" s="33">
        <v>306436</v>
      </c>
      <c r="F15" s="33">
        <v>97140</v>
      </c>
      <c r="G15" s="33">
        <v>11574</v>
      </c>
      <c r="H15" s="33">
        <v>92223</v>
      </c>
      <c r="I15" s="33">
        <v>200938</v>
      </c>
      <c r="L15" s="35"/>
      <c r="M15" s="22"/>
      <c r="N15" s="29"/>
      <c r="O15" s="29"/>
      <c r="P15" s="22"/>
      <c r="Q15" s="29"/>
    </row>
    <row r="16" spans="1:20">
      <c r="A16" s="31">
        <f>[1]不提取累积情况!A15</f>
        <v>79</v>
      </c>
      <c r="B16" s="31">
        <v>12</v>
      </c>
      <c r="C16" s="36">
        <v>150000</v>
      </c>
      <c r="D16" s="36">
        <v>10200</v>
      </c>
      <c r="E16" s="36">
        <v>306436</v>
      </c>
      <c r="F16" s="36">
        <v>99898</v>
      </c>
      <c r="G16" s="36">
        <v>4282</v>
      </c>
      <c r="H16" s="36">
        <v>100983</v>
      </c>
      <c r="I16" s="36">
        <v>205164</v>
      </c>
      <c r="L16" s="35"/>
      <c r="M16" s="22"/>
      <c r="N16" s="29"/>
      <c r="O16" s="29"/>
      <c r="P16" s="22"/>
      <c r="Q16" s="29"/>
    </row>
    <row r="17" spans="1:17">
      <c r="A17" s="31">
        <f>[1]不提取累积情况!A16</f>
        <v>80</v>
      </c>
      <c r="B17" s="31">
        <v>13</v>
      </c>
      <c r="C17" s="36">
        <v>147012</v>
      </c>
      <c r="D17" s="36">
        <v>10404</v>
      </c>
      <c r="E17" s="36">
        <v>300331</v>
      </c>
      <c r="F17" s="36">
        <v>100911</v>
      </c>
      <c r="G17" s="37">
        <v>0</v>
      </c>
      <c r="H17" s="36">
        <v>108720</v>
      </c>
      <c r="I17" s="36">
        <v>209631</v>
      </c>
      <c r="L17" s="35"/>
      <c r="M17" s="22"/>
      <c r="N17" s="29"/>
      <c r="O17" s="29"/>
      <c r="P17" s="22"/>
      <c r="Q17" s="29"/>
    </row>
    <row r="18" spans="1:17">
      <c r="A18" s="31">
        <f>[1]不提取累积情况!A17</f>
        <v>81</v>
      </c>
      <c r="B18" s="31">
        <v>14</v>
      </c>
      <c r="C18" s="36">
        <v>140196</v>
      </c>
      <c r="D18" s="36">
        <v>10612</v>
      </c>
      <c r="E18" s="36">
        <v>286406</v>
      </c>
      <c r="F18" s="36">
        <v>99097</v>
      </c>
      <c r="G18" s="37">
        <v>0</v>
      </c>
      <c r="H18" s="36">
        <v>115708</v>
      </c>
      <c r="I18" s="36">
        <v>214805</v>
      </c>
      <c r="L18" s="35"/>
      <c r="M18" s="22"/>
      <c r="N18" s="29"/>
      <c r="O18" s="29"/>
      <c r="P18" s="22"/>
      <c r="Q18" s="29"/>
    </row>
    <row r="19" spans="1:17">
      <c r="A19" s="38">
        <f>[1]不提取累积情况!A18</f>
        <v>82</v>
      </c>
      <c r="B19" s="38">
        <v>15</v>
      </c>
      <c r="C19" s="39">
        <v>133715</v>
      </c>
      <c r="D19" s="39">
        <v>10824</v>
      </c>
      <c r="E19" s="39">
        <v>273167</v>
      </c>
      <c r="F19" s="39">
        <v>97247</v>
      </c>
      <c r="G19" s="40">
        <v>0</v>
      </c>
      <c r="H19" s="39">
        <v>122652</v>
      </c>
      <c r="I19" s="39">
        <v>219899</v>
      </c>
      <c r="L19" s="35"/>
      <c r="M19" s="22"/>
      <c r="N19" s="29"/>
      <c r="O19" s="29"/>
      <c r="P19" s="22"/>
      <c r="Q19" s="29"/>
    </row>
    <row r="20" spans="1:17">
      <c r="A20" s="31">
        <f>[1]不提取累积情况!A19</f>
        <v>83</v>
      </c>
      <c r="B20" s="32">
        <v>16</v>
      </c>
      <c r="C20" s="33">
        <v>127580</v>
      </c>
      <c r="D20" s="33">
        <v>11041</v>
      </c>
      <c r="E20" s="33">
        <v>260634</v>
      </c>
      <c r="F20" s="33">
        <v>99041</v>
      </c>
      <c r="G20" s="34">
        <v>0</v>
      </c>
      <c r="H20" s="33">
        <v>127189</v>
      </c>
      <c r="I20" s="33">
        <v>226230</v>
      </c>
      <c r="L20" s="35"/>
      <c r="M20" s="22"/>
      <c r="N20" s="29"/>
      <c r="O20" s="29"/>
      <c r="P20" s="22"/>
      <c r="Q20" s="29"/>
    </row>
    <row r="21" spans="1:17">
      <c r="A21" s="31">
        <f>[1]不提取累积情况!A20</f>
        <v>84</v>
      </c>
      <c r="B21" s="31">
        <v>17</v>
      </c>
      <c r="C21" s="36">
        <v>122147</v>
      </c>
      <c r="D21" s="36">
        <v>11262</v>
      </c>
      <c r="E21" s="36">
        <v>248772</v>
      </c>
      <c r="F21" s="36">
        <v>100753</v>
      </c>
      <c r="G21" s="37">
        <v>0</v>
      </c>
      <c r="H21" s="36">
        <v>132098</v>
      </c>
      <c r="I21" s="36">
        <v>232851</v>
      </c>
      <c r="L21" s="35"/>
      <c r="M21" s="22"/>
      <c r="N21" s="29"/>
      <c r="O21" s="29"/>
      <c r="P21" s="22"/>
      <c r="Q21" s="29"/>
    </row>
    <row r="22" spans="1:17">
      <c r="A22" s="31">
        <f>[1]不提取累积情况!A21</f>
        <v>85</v>
      </c>
      <c r="B22" s="31">
        <v>18</v>
      </c>
      <c r="C22" s="36">
        <v>116696</v>
      </c>
      <c r="D22" s="36">
        <v>11487</v>
      </c>
      <c r="E22" s="36">
        <v>237671</v>
      </c>
      <c r="F22" s="36">
        <v>116221</v>
      </c>
      <c r="G22" s="37">
        <v>0</v>
      </c>
      <c r="H22" s="36">
        <v>126441</v>
      </c>
      <c r="I22" s="36">
        <v>242662</v>
      </c>
      <c r="L22" s="35"/>
      <c r="M22" s="22"/>
      <c r="N22" s="29"/>
      <c r="O22" s="29"/>
      <c r="P22" s="22"/>
      <c r="Q22" s="29"/>
    </row>
    <row r="23" spans="1:17">
      <c r="A23" s="31">
        <f>[1]不提取累积情况!A22</f>
        <v>86</v>
      </c>
      <c r="B23" s="31">
        <v>19</v>
      </c>
      <c r="C23" s="36">
        <v>111539</v>
      </c>
      <c r="D23" s="36">
        <v>11717</v>
      </c>
      <c r="E23" s="36">
        <v>227168</v>
      </c>
      <c r="F23" s="36">
        <v>111994</v>
      </c>
      <c r="G23" s="37">
        <v>0</v>
      </c>
      <c r="H23" s="36">
        <v>138118</v>
      </c>
      <c r="I23" s="36">
        <v>250112</v>
      </c>
      <c r="L23" s="35"/>
      <c r="M23" s="22"/>
      <c r="N23" s="29"/>
      <c r="O23" s="29"/>
      <c r="P23" s="22"/>
      <c r="Q23" s="29"/>
    </row>
    <row r="24" spans="1:17">
      <c r="A24" s="38">
        <f>[1]不提取累积情况!A23</f>
        <v>87</v>
      </c>
      <c r="B24" s="38">
        <v>20</v>
      </c>
      <c r="C24" s="39">
        <v>106639</v>
      </c>
      <c r="D24" s="39">
        <v>11951</v>
      </c>
      <c r="E24" s="39">
        <v>217187</v>
      </c>
      <c r="F24" s="39">
        <v>107290</v>
      </c>
      <c r="G24" s="40">
        <v>0</v>
      </c>
      <c r="H24" s="39">
        <v>149424</v>
      </c>
      <c r="I24" s="39">
        <v>256714</v>
      </c>
      <c r="L24" s="35"/>
      <c r="M24" s="22"/>
      <c r="N24" s="29"/>
      <c r="O24" s="29"/>
      <c r="P24" s="22"/>
      <c r="Q24" s="29"/>
    </row>
    <row r="25" spans="1:17">
      <c r="A25" s="31">
        <f>[1]不提取累积情况!A24</f>
        <v>88</v>
      </c>
      <c r="B25" s="32">
        <v>21</v>
      </c>
      <c r="C25" s="33">
        <v>102065</v>
      </c>
      <c r="D25" s="33">
        <v>12190</v>
      </c>
      <c r="E25" s="33">
        <v>207872</v>
      </c>
      <c r="F25" s="33">
        <v>102897</v>
      </c>
      <c r="G25" s="34">
        <v>0</v>
      </c>
      <c r="H25" s="33">
        <v>165674</v>
      </c>
      <c r="I25" s="33">
        <v>268571</v>
      </c>
      <c r="L25" s="35"/>
      <c r="M25" s="22"/>
      <c r="N25" s="29"/>
      <c r="O25" s="29"/>
      <c r="P25" s="22"/>
      <c r="Q25" s="29"/>
    </row>
    <row r="26" spans="1:17">
      <c r="A26" s="31">
        <f>[1]不提取累积情况!A25</f>
        <v>89</v>
      </c>
      <c r="B26" s="31">
        <v>22</v>
      </c>
      <c r="C26" s="36">
        <v>97785</v>
      </c>
      <c r="D26" s="36">
        <v>12434</v>
      </c>
      <c r="E26" s="36">
        <v>199154</v>
      </c>
      <c r="F26" s="36">
        <v>98781</v>
      </c>
      <c r="G26" s="37">
        <v>0</v>
      </c>
      <c r="H26" s="36">
        <v>181629</v>
      </c>
      <c r="I26" s="36">
        <v>280409</v>
      </c>
      <c r="L26" s="35"/>
      <c r="M26" s="22"/>
      <c r="N26" s="29"/>
      <c r="O26" s="29"/>
      <c r="P26" s="22"/>
      <c r="Q26" s="29"/>
    </row>
    <row r="27" spans="1:17">
      <c r="A27" s="31">
        <f>[1]不提取累积情况!A26</f>
        <v>90</v>
      </c>
      <c r="B27" s="31">
        <v>23</v>
      </c>
      <c r="C27" s="36">
        <v>93785</v>
      </c>
      <c r="D27" s="36">
        <v>12682</v>
      </c>
      <c r="E27" s="36">
        <v>191009</v>
      </c>
      <c r="F27" s="36">
        <v>94931</v>
      </c>
      <c r="G27" s="37">
        <v>0</v>
      </c>
      <c r="H27" s="36">
        <v>198649</v>
      </c>
      <c r="I27" s="36">
        <v>293581</v>
      </c>
      <c r="L27" s="35"/>
      <c r="M27" s="22"/>
      <c r="N27" s="29"/>
      <c r="O27" s="29"/>
      <c r="P27" s="22"/>
      <c r="Q27" s="29"/>
    </row>
    <row r="28" spans="1:17">
      <c r="A28" s="31">
        <f>[1]不提取累积情况!A27</f>
        <v>91</v>
      </c>
      <c r="B28" s="31">
        <v>24</v>
      </c>
      <c r="C28" s="36">
        <v>90003</v>
      </c>
      <c r="D28" s="36">
        <v>12936</v>
      </c>
      <c r="E28" s="36">
        <v>183306</v>
      </c>
      <c r="F28" s="36">
        <v>91287</v>
      </c>
      <c r="G28" s="37">
        <v>0</v>
      </c>
      <c r="H28" s="36">
        <v>212635</v>
      </c>
      <c r="I28" s="36">
        <v>303922</v>
      </c>
      <c r="L28" s="35"/>
      <c r="M28" s="22"/>
      <c r="N28" s="29"/>
      <c r="O28" s="29"/>
      <c r="P28" s="22"/>
      <c r="Q28" s="29"/>
    </row>
    <row r="29" spans="1:17">
      <c r="A29" s="38">
        <f>[1]不提取累积情况!A28</f>
        <v>92</v>
      </c>
      <c r="B29" s="38">
        <v>25</v>
      </c>
      <c r="C29" s="39">
        <v>86428</v>
      </c>
      <c r="D29" s="39">
        <v>13195</v>
      </c>
      <c r="E29" s="39">
        <v>176025</v>
      </c>
      <c r="F29" s="39">
        <v>87836</v>
      </c>
      <c r="G29" s="40">
        <v>0</v>
      </c>
      <c r="H29" s="39">
        <v>227072</v>
      </c>
      <c r="I29" s="39">
        <v>314908</v>
      </c>
      <c r="L29" s="35"/>
      <c r="M29" s="22"/>
      <c r="N29" s="29"/>
      <c r="O29" s="29"/>
      <c r="P29" s="22"/>
      <c r="Q29" s="29"/>
    </row>
    <row r="30" spans="1:17">
      <c r="A30" s="31">
        <f>[1]不提取累积情况!A29</f>
        <v>93</v>
      </c>
      <c r="B30" s="32">
        <v>26</v>
      </c>
      <c r="C30" s="33">
        <v>83046</v>
      </c>
      <c r="D30" s="33">
        <v>13459</v>
      </c>
      <c r="E30" s="33">
        <v>169136</v>
      </c>
      <c r="F30" s="33">
        <v>84568</v>
      </c>
      <c r="G30" s="34">
        <v>0</v>
      </c>
      <c r="H30" s="33">
        <v>241695</v>
      </c>
      <c r="I30" s="33">
        <v>326263</v>
      </c>
      <c r="L30" s="35"/>
      <c r="M30" s="22"/>
      <c r="N30" s="29"/>
      <c r="O30" s="29"/>
      <c r="P30" s="22"/>
      <c r="Q30" s="29"/>
    </row>
    <row r="31" spans="1:17">
      <c r="A31" s="31">
        <f>[1]不提取累积情况!A30</f>
        <v>94</v>
      </c>
      <c r="B31" s="31">
        <v>27</v>
      </c>
      <c r="C31" s="36">
        <v>79842</v>
      </c>
      <c r="D31" s="36">
        <v>13728</v>
      </c>
      <c r="E31" s="36">
        <v>162610</v>
      </c>
      <c r="F31" s="36">
        <v>81468</v>
      </c>
      <c r="G31" s="37">
        <v>0</v>
      </c>
      <c r="H31" s="36">
        <v>256274</v>
      </c>
      <c r="I31" s="36">
        <v>337742</v>
      </c>
      <c r="L31" s="35"/>
      <c r="M31" s="22"/>
      <c r="N31" s="29"/>
      <c r="O31" s="29"/>
      <c r="P31" s="22"/>
      <c r="Q31" s="29"/>
    </row>
    <row r="32" spans="1:17">
      <c r="A32" s="31">
        <f>[1]不提取累积情况!A31</f>
        <v>95</v>
      </c>
      <c r="B32" s="31">
        <v>28</v>
      </c>
      <c r="C32" s="36">
        <v>76780</v>
      </c>
      <c r="D32" s="36">
        <v>14002</v>
      </c>
      <c r="E32" s="36">
        <v>156374</v>
      </c>
      <c r="F32" s="36">
        <v>78500</v>
      </c>
      <c r="G32" s="37">
        <v>0</v>
      </c>
      <c r="H32" s="36">
        <v>268182</v>
      </c>
      <c r="I32" s="36">
        <v>346682</v>
      </c>
      <c r="L32" s="35"/>
      <c r="M32" s="22"/>
      <c r="N32" s="29"/>
      <c r="O32" s="29"/>
      <c r="P32" s="22"/>
      <c r="Q32" s="29"/>
    </row>
    <row r="33" spans="1:17">
      <c r="A33" s="31">
        <f>[1]不提取累积情况!A32</f>
        <v>96</v>
      </c>
      <c r="B33" s="31">
        <v>29</v>
      </c>
      <c r="C33" s="36">
        <v>73847</v>
      </c>
      <c r="D33" s="36">
        <v>14282</v>
      </c>
      <c r="E33" s="36">
        <v>150401</v>
      </c>
      <c r="F33" s="36">
        <v>75652</v>
      </c>
      <c r="G33" s="37">
        <v>0</v>
      </c>
      <c r="H33" s="36">
        <v>279445</v>
      </c>
      <c r="I33" s="36">
        <v>355096</v>
      </c>
      <c r="L33" s="35"/>
      <c r="M33" s="22"/>
      <c r="N33" s="29"/>
      <c r="O33" s="29"/>
      <c r="P33" s="22"/>
      <c r="Q33" s="29"/>
    </row>
    <row r="34" spans="1:17">
      <c r="A34" s="31">
        <f>[1]不提取累积情况!A33</f>
        <v>97</v>
      </c>
      <c r="B34" s="38">
        <v>30</v>
      </c>
      <c r="C34" s="39">
        <v>71304</v>
      </c>
      <c r="D34" s="39">
        <v>14568</v>
      </c>
      <c r="E34" s="39">
        <v>144780</v>
      </c>
      <c r="F34" s="39">
        <v>72969</v>
      </c>
      <c r="G34" s="40">
        <v>0</v>
      </c>
      <c r="H34" s="39">
        <v>297523</v>
      </c>
      <c r="I34" s="39">
        <v>370492</v>
      </c>
      <c r="L34" s="35"/>
      <c r="M34" s="22"/>
      <c r="N34" s="29"/>
      <c r="O34" s="29"/>
      <c r="P34" s="22"/>
      <c r="Q34" s="29"/>
    </row>
    <row r="35" spans="1:17">
      <c r="A35" s="31">
        <f>[1]不提取累积情况!A34</f>
        <v>98</v>
      </c>
      <c r="B35" s="32">
        <v>31</v>
      </c>
      <c r="C35" s="33">
        <v>68647</v>
      </c>
      <c r="D35" s="33">
        <v>14859</v>
      </c>
      <c r="E35" s="33">
        <v>139385</v>
      </c>
      <c r="F35" s="33">
        <v>70390</v>
      </c>
      <c r="G35" s="34">
        <v>0</v>
      </c>
      <c r="H35" s="33">
        <v>308739</v>
      </c>
      <c r="I35" s="33">
        <v>379128</v>
      </c>
      <c r="L35" s="35"/>
      <c r="M35" s="22"/>
      <c r="N35" s="29"/>
      <c r="O35" s="29"/>
      <c r="P35" s="22"/>
      <c r="Q35" s="29"/>
    </row>
    <row r="36" spans="1:17">
      <c r="A36" s="31">
        <f>[1]不提取累积情况!A35</f>
        <v>99</v>
      </c>
      <c r="B36" s="31">
        <v>32</v>
      </c>
      <c r="C36" s="36">
        <v>66097</v>
      </c>
      <c r="D36" s="36">
        <v>15157</v>
      </c>
      <c r="E36" s="36">
        <v>134206</v>
      </c>
      <c r="F36" s="36">
        <v>67908</v>
      </c>
      <c r="G36" s="37">
        <v>0</v>
      </c>
      <c r="H36" s="36">
        <v>319947</v>
      </c>
      <c r="I36" s="36">
        <v>387855</v>
      </c>
      <c r="L36" s="35"/>
      <c r="M36" s="22"/>
      <c r="N36" s="29"/>
      <c r="O36" s="29"/>
      <c r="P36" s="22"/>
      <c r="Q36" s="29"/>
    </row>
    <row r="37" spans="1:17">
      <c r="A37" s="31">
        <f>[1]不提取累积情况!A36</f>
        <v>100</v>
      </c>
      <c r="B37" s="31">
        <v>33</v>
      </c>
      <c r="C37" s="36">
        <v>63649</v>
      </c>
      <c r="D37" s="36">
        <v>15460</v>
      </c>
      <c r="E37" s="36">
        <v>129237</v>
      </c>
      <c r="F37" s="36">
        <v>65782</v>
      </c>
      <c r="G37" s="37">
        <v>0</v>
      </c>
      <c r="H37" s="36">
        <v>331365</v>
      </c>
      <c r="I37" s="36">
        <v>397147</v>
      </c>
      <c r="L37" s="35"/>
      <c r="M37" s="22"/>
      <c r="N37" s="29"/>
      <c r="O37" s="29"/>
      <c r="P37" s="22"/>
      <c r="Q37" s="29"/>
    </row>
    <row r="38" spans="1:17">
      <c r="A38" s="31"/>
      <c r="B38" s="31">
        <v>34</v>
      </c>
      <c r="C38" s="36">
        <v>61302</v>
      </c>
      <c r="D38" s="36">
        <v>15769</v>
      </c>
      <c r="E38" s="36">
        <v>124470</v>
      </c>
      <c r="F38" s="36">
        <v>63729</v>
      </c>
      <c r="G38" s="37">
        <v>0</v>
      </c>
      <c r="H38" s="36">
        <v>342915</v>
      </c>
      <c r="I38" s="36">
        <v>406644</v>
      </c>
      <c r="L38" s="35"/>
      <c r="M38" s="22"/>
      <c r="N38" s="29"/>
      <c r="O38" s="29"/>
      <c r="P38" s="22"/>
      <c r="Q38" s="29"/>
    </row>
    <row r="39" spans="1:17">
      <c r="A39" s="38"/>
      <c r="B39" s="38">
        <v>35</v>
      </c>
      <c r="C39" s="39">
        <v>59049</v>
      </c>
      <c r="D39" s="39">
        <v>16084</v>
      </c>
      <c r="E39" s="39">
        <v>119896</v>
      </c>
      <c r="F39" s="39">
        <v>61746</v>
      </c>
      <c r="G39" s="40">
        <v>0</v>
      </c>
      <c r="H39" s="39">
        <v>354651</v>
      </c>
      <c r="I39" s="39">
        <v>416398</v>
      </c>
      <c r="L39" s="35"/>
      <c r="M39" s="22"/>
      <c r="N39" s="29"/>
      <c r="O39" s="29"/>
      <c r="P39" s="22"/>
      <c r="Q39" s="29"/>
    </row>
    <row r="40" spans="1:17">
      <c r="A40" s="32"/>
      <c r="B40" s="32">
        <v>36</v>
      </c>
      <c r="C40" s="33">
        <v>56887</v>
      </c>
      <c r="D40" s="33">
        <v>16406</v>
      </c>
      <c r="E40" s="33">
        <v>115506</v>
      </c>
      <c r="F40" s="33">
        <v>59717</v>
      </c>
      <c r="G40" s="34">
        <v>0</v>
      </c>
      <c r="H40" s="33">
        <v>366732</v>
      </c>
      <c r="I40" s="33">
        <v>426449</v>
      </c>
      <c r="L40" s="35"/>
      <c r="M40" s="22"/>
      <c r="N40" s="29"/>
      <c r="O40" s="29"/>
      <c r="P40" s="22"/>
      <c r="Q40" s="29"/>
    </row>
    <row r="41" spans="1:17">
      <c r="A41" s="31"/>
      <c r="B41" s="31">
        <v>37</v>
      </c>
      <c r="C41" s="36">
        <v>54812</v>
      </c>
      <c r="D41" s="36">
        <v>16734</v>
      </c>
      <c r="E41" s="36">
        <v>111294</v>
      </c>
      <c r="F41" s="36">
        <v>57984</v>
      </c>
      <c r="G41" s="37">
        <v>0</v>
      </c>
      <c r="H41" s="36">
        <v>378732</v>
      </c>
      <c r="I41" s="36">
        <v>436716</v>
      </c>
      <c r="L41" s="35"/>
      <c r="M41" s="22"/>
      <c r="N41" s="29"/>
      <c r="O41" s="29"/>
      <c r="P41" s="22"/>
      <c r="Q41" s="29"/>
    </row>
    <row r="42" spans="1:17">
      <c r="A42" s="31"/>
      <c r="B42" s="31">
        <v>38</v>
      </c>
      <c r="C42" s="36">
        <v>52821</v>
      </c>
      <c r="D42" s="36">
        <v>17069</v>
      </c>
      <c r="E42" s="36">
        <v>107251</v>
      </c>
      <c r="F42" s="36">
        <v>56307</v>
      </c>
      <c r="G42" s="37">
        <v>0</v>
      </c>
      <c r="H42" s="36">
        <v>391036</v>
      </c>
      <c r="I42" s="36">
        <v>447343</v>
      </c>
      <c r="L42" s="35"/>
      <c r="M42" s="22"/>
      <c r="N42" s="29"/>
      <c r="O42" s="29"/>
      <c r="P42" s="22"/>
      <c r="Q42" s="29"/>
    </row>
    <row r="43" spans="1:17">
      <c r="A43" s="31"/>
      <c r="B43" s="31">
        <v>39</v>
      </c>
      <c r="C43" s="36">
        <v>50910</v>
      </c>
      <c r="D43" s="36">
        <v>17410</v>
      </c>
      <c r="E43" s="36">
        <v>103370</v>
      </c>
      <c r="F43" s="36">
        <v>54476</v>
      </c>
      <c r="G43" s="37">
        <v>0</v>
      </c>
      <c r="H43" s="36">
        <v>403660</v>
      </c>
      <c r="I43" s="36">
        <v>458136</v>
      </c>
      <c r="L43" s="35"/>
      <c r="M43" s="22"/>
      <c r="N43" s="29"/>
      <c r="O43" s="29"/>
      <c r="P43" s="22"/>
      <c r="Q43" s="29"/>
    </row>
    <row r="44" spans="1:17">
      <c r="A44" s="38"/>
      <c r="B44" s="38">
        <v>40</v>
      </c>
      <c r="C44" s="39">
        <v>49302</v>
      </c>
      <c r="D44" s="39">
        <v>17758</v>
      </c>
      <c r="E44" s="39">
        <v>100106</v>
      </c>
      <c r="F44" s="39">
        <v>53237</v>
      </c>
      <c r="G44" s="40">
        <v>0</v>
      </c>
      <c r="H44" s="39">
        <v>417643</v>
      </c>
      <c r="I44" s="39">
        <v>470880</v>
      </c>
      <c r="L44" s="35"/>
      <c r="M44" s="22"/>
      <c r="N44" s="29"/>
      <c r="O44" s="29"/>
      <c r="P44" s="22"/>
      <c r="Q44" s="29"/>
    </row>
    <row r="45" spans="1:17">
      <c r="A45" s="32"/>
      <c r="B45" s="32">
        <v>41</v>
      </c>
      <c r="C45" s="33">
        <v>47758</v>
      </c>
      <c r="D45" s="33">
        <v>18114</v>
      </c>
      <c r="E45" s="33">
        <v>96970</v>
      </c>
      <c r="F45" s="33">
        <v>51695</v>
      </c>
      <c r="G45" s="34">
        <v>0</v>
      </c>
      <c r="H45" s="33">
        <v>432291</v>
      </c>
      <c r="I45" s="33">
        <v>483985</v>
      </c>
      <c r="L45" s="35"/>
      <c r="M45" s="22"/>
      <c r="N45" s="29"/>
      <c r="O45" s="29"/>
      <c r="P45" s="22"/>
      <c r="Q45" s="29"/>
    </row>
    <row r="46" spans="1:17">
      <c r="A46" s="31"/>
      <c r="B46" s="31">
        <v>42</v>
      </c>
      <c r="C46" s="36">
        <v>46274</v>
      </c>
      <c r="D46" s="36">
        <v>18476</v>
      </c>
      <c r="E46" s="36">
        <v>93957</v>
      </c>
      <c r="F46" s="36">
        <v>50210</v>
      </c>
      <c r="G46" s="37">
        <v>0</v>
      </c>
      <c r="H46" s="36">
        <v>447515</v>
      </c>
      <c r="I46" s="36">
        <v>497726</v>
      </c>
      <c r="L46" s="35"/>
      <c r="M46" s="22"/>
      <c r="N46" s="29"/>
      <c r="O46" s="29"/>
      <c r="P46" s="22"/>
      <c r="Q46" s="29"/>
    </row>
    <row r="47" spans="1:17">
      <c r="A47" s="31"/>
      <c r="B47" s="31">
        <v>43</v>
      </c>
      <c r="C47" s="36">
        <v>44848</v>
      </c>
      <c r="D47" s="36">
        <v>18845</v>
      </c>
      <c r="E47" s="36">
        <v>91062</v>
      </c>
      <c r="F47" s="36">
        <v>48782</v>
      </c>
      <c r="G47" s="37">
        <v>0</v>
      </c>
      <c r="H47" s="36">
        <v>463048</v>
      </c>
      <c r="I47" s="36">
        <v>511830</v>
      </c>
      <c r="L47" s="35"/>
      <c r="M47" s="22"/>
      <c r="N47" s="29"/>
      <c r="O47" s="29"/>
      <c r="P47" s="22"/>
      <c r="Q47" s="29"/>
    </row>
    <row r="48" spans="1:17">
      <c r="A48" s="31"/>
      <c r="B48" s="31">
        <v>44</v>
      </c>
      <c r="C48" s="36">
        <v>43478</v>
      </c>
      <c r="D48" s="36">
        <v>19222</v>
      </c>
      <c r="E48" s="36">
        <v>88281</v>
      </c>
      <c r="F48" s="36">
        <v>47407</v>
      </c>
      <c r="G48" s="37">
        <v>0</v>
      </c>
      <c r="H48" s="36">
        <v>479187</v>
      </c>
      <c r="I48" s="36">
        <v>526594</v>
      </c>
      <c r="L48" s="35"/>
      <c r="M48" s="22"/>
      <c r="N48" s="29"/>
      <c r="O48" s="29"/>
      <c r="P48" s="22"/>
      <c r="Q48" s="29"/>
    </row>
    <row r="49" spans="1:17">
      <c r="A49" s="38"/>
      <c r="B49" s="38">
        <v>45</v>
      </c>
      <c r="C49" s="39">
        <v>42163</v>
      </c>
      <c r="D49" s="39">
        <v>19607</v>
      </c>
      <c r="E49" s="39">
        <v>85610</v>
      </c>
      <c r="F49" s="39">
        <v>46084</v>
      </c>
      <c r="G49" s="40">
        <v>0</v>
      </c>
      <c r="H49" s="39">
        <v>495851</v>
      </c>
      <c r="I49" s="39">
        <v>541934</v>
      </c>
      <c r="L49" s="35"/>
      <c r="M49" s="22"/>
      <c r="N49" s="29"/>
      <c r="O49" s="29"/>
      <c r="P49" s="22"/>
      <c r="Q49" s="29"/>
    </row>
    <row r="50" spans="1:17">
      <c r="A50" s="32"/>
      <c r="B50" s="32">
        <v>46</v>
      </c>
      <c r="C50" s="33">
        <v>40899</v>
      </c>
      <c r="D50" s="33">
        <v>19999</v>
      </c>
      <c r="E50" s="33">
        <v>83044</v>
      </c>
      <c r="F50" s="33">
        <v>44811</v>
      </c>
      <c r="G50" s="34">
        <v>0</v>
      </c>
      <c r="H50" s="33">
        <v>513047</v>
      </c>
      <c r="I50" s="33">
        <v>557857</v>
      </c>
      <c r="L50" s="35"/>
      <c r="M50" s="22"/>
      <c r="N50" s="29"/>
      <c r="O50" s="29"/>
      <c r="P50" s="22"/>
      <c r="Q50" s="29"/>
    </row>
    <row r="51" spans="1:17">
      <c r="A51" s="31"/>
      <c r="B51" s="31">
        <v>47</v>
      </c>
      <c r="C51" s="36">
        <v>39686</v>
      </c>
      <c r="D51" s="36">
        <v>20399</v>
      </c>
      <c r="E51" s="36">
        <v>80580</v>
      </c>
      <c r="F51" s="36">
        <v>43586</v>
      </c>
      <c r="G51" s="37">
        <v>0</v>
      </c>
      <c r="H51" s="36">
        <v>530781</v>
      </c>
      <c r="I51" s="36">
        <v>574366</v>
      </c>
      <c r="L51" s="35"/>
      <c r="M51" s="22"/>
      <c r="N51" s="29"/>
      <c r="O51" s="29"/>
      <c r="P51" s="22"/>
      <c r="Q51" s="29"/>
    </row>
    <row r="52" spans="1:17">
      <c r="A52" s="31"/>
      <c r="B52" s="31">
        <v>48</v>
      </c>
      <c r="C52" s="36">
        <v>38520</v>
      </c>
      <c r="D52" s="36">
        <v>20807</v>
      </c>
      <c r="E52" s="36">
        <v>78214</v>
      </c>
      <c r="F52" s="36">
        <v>42470</v>
      </c>
      <c r="G52" s="37">
        <v>0</v>
      </c>
      <c r="H52" s="36">
        <v>549139</v>
      </c>
      <c r="I52" s="36">
        <v>591609</v>
      </c>
      <c r="L52" s="35"/>
      <c r="M52" s="22"/>
      <c r="N52" s="29"/>
      <c r="O52" s="29"/>
      <c r="P52" s="22"/>
      <c r="Q52" s="29"/>
    </row>
    <row r="53" spans="1:17">
      <c r="A53" s="31"/>
      <c r="B53" s="31">
        <v>49</v>
      </c>
      <c r="C53" s="36">
        <v>37405</v>
      </c>
      <c r="D53" s="36">
        <v>21223</v>
      </c>
      <c r="E53" s="36">
        <v>75949</v>
      </c>
      <c r="F53" s="36">
        <v>41354</v>
      </c>
      <c r="G53" s="37">
        <v>0</v>
      </c>
      <c r="H53" s="36">
        <v>569919</v>
      </c>
      <c r="I53" s="36">
        <v>611273</v>
      </c>
      <c r="L53" s="35"/>
      <c r="M53" s="22"/>
      <c r="N53" s="29"/>
      <c r="O53" s="29"/>
      <c r="P53" s="22"/>
      <c r="Q53" s="29"/>
    </row>
    <row r="54" spans="1:17">
      <c r="A54" s="38"/>
      <c r="B54" s="38">
        <v>50</v>
      </c>
      <c r="C54" s="39">
        <v>36518</v>
      </c>
      <c r="D54" s="39">
        <v>21647</v>
      </c>
      <c r="E54" s="39">
        <v>73773</v>
      </c>
      <c r="F54" s="39">
        <v>40280</v>
      </c>
      <c r="G54" s="40">
        <v>0</v>
      </c>
      <c r="H54" s="39">
        <v>589520</v>
      </c>
      <c r="I54" s="39">
        <v>629800</v>
      </c>
      <c r="L54" s="35"/>
      <c r="M54" s="22"/>
      <c r="N54" s="29"/>
      <c r="O54" s="29"/>
      <c r="P54" s="22"/>
      <c r="Q54" s="29"/>
    </row>
    <row r="55" spans="1:17">
      <c r="A55" s="32"/>
      <c r="B55" s="32">
        <v>51</v>
      </c>
      <c r="C55" s="33">
        <v>35483</v>
      </c>
      <c r="D55" s="33">
        <v>22080</v>
      </c>
      <c r="E55" s="33">
        <v>71683</v>
      </c>
      <c r="F55" s="33">
        <v>39246</v>
      </c>
      <c r="G55" s="34">
        <v>0</v>
      </c>
      <c r="H55" s="33">
        <v>609734</v>
      </c>
      <c r="I55" s="33">
        <v>648980</v>
      </c>
      <c r="L55" s="35"/>
      <c r="M55" s="22"/>
      <c r="N55" s="29"/>
      <c r="O55" s="29"/>
      <c r="P55" s="22"/>
      <c r="Q55" s="29"/>
    </row>
    <row r="56" spans="1:17">
      <c r="A56" s="31"/>
      <c r="B56" s="31">
        <v>52</v>
      </c>
      <c r="C56" s="36">
        <v>34489</v>
      </c>
      <c r="D56" s="36">
        <v>22522</v>
      </c>
      <c r="E56" s="36">
        <v>69675</v>
      </c>
      <c r="F56" s="36">
        <v>38252</v>
      </c>
      <c r="G56" s="37">
        <v>0</v>
      </c>
      <c r="H56" s="36">
        <v>630767</v>
      </c>
      <c r="I56" s="36">
        <v>669019</v>
      </c>
      <c r="L56" s="35"/>
      <c r="M56" s="22"/>
      <c r="N56" s="29"/>
      <c r="O56" s="29"/>
      <c r="P56" s="22"/>
      <c r="Q56" s="29"/>
    </row>
    <row r="57" spans="1:17">
      <c r="A57" s="31"/>
      <c r="B57" s="31">
        <v>53</v>
      </c>
      <c r="C57" s="36">
        <v>33535</v>
      </c>
      <c r="D57" s="36">
        <v>22972</v>
      </c>
      <c r="E57" s="36">
        <v>67746</v>
      </c>
      <c r="F57" s="36">
        <v>37294</v>
      </c>
      <c r="G57" s="37">
        <v>0</v>
      </c>
      <c r="H57" s="36">
        <v>652602</v>
      </c>
      <c r="I57" s="36">
        <v>689896</v>
      </c>
      <c r="L57" s="35"/>
      <c r="M57" s="22"/>
      <c r="N57" s="29"/>
      <c r="O57" s="29"/>
      <c r="P57" s="22"/>
      <c r="Q57" s="29"/>
    </row>
    <row r="58" spans="1:17">
      <c r="A58" s="31"/>
      <c r="B58" s="31">
        <v>54</v>
      </c>
      <c r="C58" s="36">
        <v>32618</v>
      </c>
      <c r="D58" s="36">
        <v>23432</v>
      </c>
      <c r="E58" s="36">
        <v>65895</v>
      </c>
      <c r="F58" s="36">
        <v>36440</v>
      </c>
      <c r="G58" s="37">
        <v>0</v>
      </c>
      <c r="H58" s="36">
        <v>675287</v>
      </c>
      <c r="I58" s="36">
        <v>711727</v>
      </c>
      <c r="L58" s="35"/>
      <c r="M58" s="22"/>
      <c r="N58" s="29"/>
      <c r="O58" s="29"/>
      <c r="P58" s="22"/>
      <c r="Q58" s="29"/>
    </row>
    <row r="59" spans="1:17">
      <c r="A59" s="38"/>
      <c r="B59" s="38">
        <v>55</v>
      </c>
      <c r="C59" s="39">
        <v>31737</v>
      </c>
      <c r="D59" s="39">
        <v>23901</v>
      </c>
      <c r="E59" s="39">
        <v>64116</v>
      </c>
      <c r="F59" s="39">
        <v>35552</v>
      </c>
      <c r="G59" s="40">
        <v>0</v>
      </c>
      <c r="H59" s="39">
        <v>698864</v>
      </c>
      <c r="I59" s="39">
        <v>734417</v>
      </c>
      <c r="L59" s="35"/>
      <c r="M59" s="22"/>
      <c r="N59" s="29"/>
      <c r="O59" s="29"/>
      <c r="P59" s="22"/>
      <c r="Q59" s="29"/>
    </row>
    <row r="60" spans="1:17">
      <c r="A60" s="32"/>
      <c r="B60" s="32">
        <v>56</v>
      </c>
      <c r="C60" s="33">
        <v>30892</v>
      </c>
      <c r="D60" s="33">
        <v>24379</v>
      </c>
      <c r="E60" s="33">
        <v>62408</v>
      </c>
      <c r="F60" s="33">
        <v>34699</v>
      </c>
      <c r="G60" s="34">
        <v>0</v>
      </c>
      <c r="H60" s="33">
        <v>723436</v>
      </c>
      <c r="I60" s="33">
        <v>758135</v>
      </c>
      <c r="L60" s="35"/>
      <c r="M60" s="22"/>
      <c r="N60" s="29"/>
      <c r="O60" s="29"/>
      <c r="P60" s="22"/>
      <c r="Q60" s="29"/>
    </row>
    <row r="61" spans="1:17">
      <c r="A61" s="38"/>
      <c r="B61" s="31">
        <v>57</v>
      </c>
      <c r="C61" s="36">
        <v>30081</v>
      </c>
      <c r="D61" s="36">
        <v>24866</v>
      </c>
      <c r="E61" s="36">
        <v>60769</v>
      </c>
      <c r="F61" s="36">
        <v>33879</v>
      </c>
      <c r="G61" s="37">
        <v>0</v>
      </c>
      <c r="H61" s="36">
        <v>749034</v>
      </c>
      <c r="I61" s="36">
        <v>782913</v>
      </c>
      <c r="L61" s="35"/>
      <c r="M61" s="22"/>
      <c r="N61" s="29"/>
      <c r="O61" s="29"/>
      <c r="P61" s="29"/>
      <c r="Q61" s="29"/>
    </row>
    <row r="62" spans="1:17">
      <c r="B62" s="31">
        <v>58</v>
      </c>
      <c r="C62" s="36">
        <v>29301</v>
      </c>
      <c r="D62" s="36">
        <v>25363</v>
      </c>
      <c r="E62" s="36">
        <v>59195</v>
      </c>
      <c r="F62" s="36">
        <v>33090</v>
      </c>
      <c r="G62" s="37">
        <v>0</v>
      </c>
      <c r="H62" s="36">
        <v>775747</v>
      </c>
      <c r="I62" s="36">
        <v>808837</v>
      </c>
      <c r="L62" s="35"/>
      <c r="M62" s="22"/>
      <c r="N62" s="29"/>
      <c r="O62" s="29"/>
      <c r="P62" s="29"/>
      <c r="Q62" s="29"/>
    </row>
    <row r="63" spans="1:17">
      <c r="B63" s="31">
        <v>59</v>
      </c>
      <c r="C63" s="36">
        <v>28554</v>
      </c>
      <c r="D63" s="36">
        <v>25871</v>
      </c>
      <c r="E63" s="36">
        <v>57684</v>
      </c>
      <c r="F63" s="36">
        <v>32332</v>
      </c>
      <c r="G63" s="37">
        <v>0</v>
      </c>
      <c r="H63" s="36">
        <v>803536</v>
      </c>
      <c r="I63" s="36">
        <v>835867</v>
      </c>
      <c r="L63" s="35"/>
      <c r="M63" s="22"/>
      <c r="N63" s="29"/>
      <c r="O63" s="29"/>
      <c r="P63" s="29"/>
      <c r="Q63" s="29"/>
    </row>
    <row r="64" spans="1:17">
      <c r="B64" s="38">
        <v>60</v>
      </c>
      <c r="C64" s="39">
        <v>27836</v>
      </c>
      <c r="D64" s="39">
        <v>26388</v>
      </c>
      <c r="E64" s="39">
        <v>56234</v>
      </c>
      <c r="F64" s="39">
        <v>31603</v>
      </c>
      <c r="G64" s="40">
        <v>0</v>
      </c>
      <c r="H64" s="39">
        <v>832539</v>
      </c>
      <c r="I64" s="39">
        <v>864142</v>
      </c>
      <c r="L64" s="35"/>
      <c r="M64" s="22"/>
      <c r="N64" s="29"/>
      <c r="O64" s="29"/>
      <c r="P64" s="29"/>
      <c r="Q64" s="29"/>
    </row>
    <row r="65" spans="2:17">
      <c r="B65" s="32">
        <v>61</v>
      </c>
      <c r="C65" s="33">
        <v>27147</v>
      </c>
      <c r="D65" s="33">
        <v>26916</v>
      </c>
      <c r="E65" s="33">
        <v>54842</v>
      </c>
      <c r="F65" s="33">
        <v>30903</v>
      </c>
      <c r="G65" s="34">
        <v>0</v>
      </c>
      <c r="H65" s="33">
        <v>862826</v>
      </c>
      <c r="I65" s="33">
        <v>893729</v>
      </c>
      <c r="L65" s="35"/>
      <c r="M65" s="22"/>
      <c r="N65" s="29"/>
      <c r="O65" s="29"/>
      <c r="P65" s="29"/>
      <c r="Q65" s="29"/>
    </row>
    <row r="66" spans="2:17">
      <c r="B66" s="31">
        <v>62</v>
      </c>
      <c r="C66" s="36">
        <v>26486</v>
      </c>
      <c r="D66" s="36">
        <v>27454</v>
      </c>
      <c r="E66" s="36">
        <v>53506</v>
      </c>
      <c r="F66" s="36">
        <v>30231</v>
      </c>
      <c r="G66" s="37">
        <v>0</v>
      </c>
      <c r="H66" s="36">
        <v>894518</v>
      </c>
      <c r="I66" s="36">
        <v>924749</v>
      </c>
      <c r="L66" s="35"/>
      <c r="M66" s="22"/>
      <c r="N66" s="29"/>
      <c r="O66" s="29"/>
      <c r="P66" s="29"/>
      <c r="Q66" s="29"/>
    </row>
    <row r="67" spans="2:17">
      <c r="B67" s="31">
        <v>63</v>
      </c>
      <c r="C67" s="36">
        <v>25851</v>
      </c>
      <c r="D67" s="36">
        <v>28003</v>
      </c>
      <c r="E67" s="36">
        <v>52225</v>
      </c>
      <c r="F67" s="36">
        <v>29612</v>
      </c>
      <c r="G67" s="37">
        <v>0</v>
      </c>
      <c r="H67" s="36">
        <v>927566</v>
      </c>
      <c r="I67" s="36">
        <v>957178</v>
      </c>
      <c r="L67" s="35"/>
      <c r="M67" s="22"/>
      <c r="N67" s="29"/>
      <c r="O67" s="29"/>
      <c r="P67" s="29"/>
      <c r="Q67" s="29"/>
    </row>
    <row r="68" spans="2:17">
      <c r="B68" s="31">
        <v>64</v>
      </c>
      <c r="C68" s="36">
        <v>25243</v>
      </c>
      <c r="D68" s="36">
        <v>28563</v>
      </c>
      <c r="E68" s="36">
        <v>50996</v>
      </c>
      <c r="F68" s="36">
        <v>29016</v>
      </c>
      <c r="G68" s="37">
        <v>0</v>
      </c>
      <c r="H68" s="36">
        <v>962132</v>
      </c>
      <c r="I68" s="36">
        <v>991149</v>
      </c>
      <c r="L68" s="35"/>
      <c r="M68" s="22"/>
      <c r="N68" s="29"/>
      <c r="O68" s="29"/>
      <c r="P68" s="29"/>
      <c r="Q68" s="29"/>
    </row>
    <row r="69" spans="2:17">
      <c r="B69" s="38">
        <v>65</v>
      </c>
      <c r="C69" s="39">
        <v>24659</v>
      </c>
      <c r="D69" s="39">
        <v>29135</v>
      </c>
      <c r="E69" s="39">
        <v>49816</v>
      </c>
      <c r="F69" s="39">
        <v>28445</v>
      </c>
      <c r="G69" s="40">
        <v>0</v>
      </c>
      <c r="H69" s="39">
        <v>998368</v>
      </c>
      <c r="I69" s="39">
        <v>1026813</v>
      </c>
      <c r="L69" s="35"/>
      <c r="M69" s="22"/>
      <c r="N69" s="29"/>
      <c r="O69" s="29"/>
      <c r="P69" s="29"/>
      <c r="Q69" s="29"/>
    </row>
    <row r="70" spans="2:17">
      <c r="B70" s="32">
        <v>66</v>
      </c>
      <c r="C70" s="33">
        <v>24099</v>
      </c>
      <c r="D70" s="33">
        <v>29717</v>
      </c>
      <c r="E70" s="33">
        <v>48685</v>
      </c>
      <c r="F70" s="33">
        <v>27897</v>
      </c>
      <c r="G70" s="34">
        <v>0</v>
      </c>
      <c r="H70" s="33">
        <v>1036266</v>
      </c>
      <c r="I70" s="33">
        <v>1064163</v>
      </c>
      <c r="L70" s="35"/>
      <c r="M70" s="22"/>
      <c r="N70" s="29"/>
      <c r="O70" s="29"/>
      <c r="P70" s="29"/>
      <c r="Q70" s="29"/>
    </row>
    <row r="71" spans="2:17">
      <c r="B71" s="31">
        <v>67</v>
      </c>
      <c r="C71" s="36">
        <v>23562</v>
      </c>
      <c r="D71" s="36">
        <v>30312</v>
      </c>
      <c r="E71" s="36">
        <v>47601</v>
      </c>
      <c r="F71" s="36">
        <v>27370</v>
      </c>
      <c r="G71" s="37">
        <v>0</v>
      </c>
      <c r="H71" s="36">
        <v>1075965</v>
      </c>
      <c r="I71" s="36">
        <v>1103335</v>
      </c>
      <c r="L71" s="35"/>
      <c r="M71" s="22"/>
      <c r="N71" s="29"/>
      <c r="O71" s="29"/>
      <c r="P71" s="29"/>
      <c r="Q71" s="29"/>
    </row>
    <row r="72" spans="2:17">
      <c r="B72" s="31">
        <v>68</v>
      </c>
      <c r="C72" s="36">
        <v>23048</v>
      </c>
      <c r="D72" s="36">
        <v>30918</v>
      </c>
      <c r="E72" s="36">
        <v>46561</v>
      </c>
      <c r="F72" s="36">
        <v>26912</v>
      </c>
      <c r="G72" s="37">
        <v>0</v>
      </c>
      <c r="H72" s="36">
        <v>1117549</v>
      </c>
      <c r="I72" s="36">
        <v>1144461</v>
      </c>
      <c r="L72" s="35"/>
      <c r="M72" s="22"/>
      <c r="N72" s="29"/>
      <c r="O72" s="29"/>
      <c r="P72" s="29"/>
      <c r="Q72" s="29"/>
    </row>
    <row r="73" spans="2:17">
      <c r="B73" s="31">
        <v>69</v>
      </c>
      <c r="C73" s="36">
        <v>22554</v>
      </c>
      <c r="D73" s="36">
        <v>31536</v>
      </c>
      <c r="E73" s="36">
        <v>45564</v>
      </c>
      <c r="F73" s="36">
        <v>26409</v>
      </c>
      <c r="G73" s="37">
        <v>0</v>
      </c>
      <c r="H73" s="36">
        <v>1161190</v>
      </c>
      <c r="I73" s="36">
        <v>1187599</v>
      </c>
      <c r="L73" s="35"/>
      <c r="M73" s="22"/>
      <c r="N73" s="29"/>
      <c r="O73" s="29"/>
      <c r="P73" s="29"/>
      <c r="Q73" s="29"/>
    </row>
    <row r="74" spans="2:17">
      <c r="B74" s="38">
        <v>70</v>
      </c>
      <c r="C74" s="39">
        <v>22081</v>
      </c>
      <c r="D74" s="39">
        <v>32167</v>
      </c>
      <c r="E74" s="39">
        <v>44608</v>
      </c>
      <c r="F74" s="39">
        <v>25962</v>
      </c>
      <c r="G74" s="40">
        <v>0</v>
      </c>
      <c r="H74" s="39">
        <v>1207004</v>
      </c>
      <c r="I74" s="39">
        <v>1232965</v>
      </c>
      <c r="L74" s="35"/>
      <c r="M74" s="22"/>
      <c r="N74" s="29"/>
      <c r="O74" s="29"/>
      <c r="P74" s="29"/>
      <c r="Q74" s="29"/>
    </row>
    <row r="75" spans="2:17">
      <c r="B75" s="32">
        <v>71</v>
      </c>
      <c r="C75" s="33">
        <v>21628</v>
      </c>
      <c r="D75" s="33">
        <v>32810</v>
      </c>
      <c r="E75" s="33">
        <v>43692</v>
      </c>
      <c r="F75" s="33">
        <v>25560</v>
      </c>
      <c r="G75" s="34">
        <v>0</v>
      </c>
      <c r="H75" s="33">
        <v>1255058</v>
      </c>
      <c r="I75" s="33">
        <v>1280618</v>
      </c>
      <c r="L75" s="35"/>
      <c r="M75" s="22"/>
      <c r="N75" s="29"/>
      <c r="O75" s="29"/>
      <c r="P75" s="29"/>
      <c r="Q75" s="29"/>
    </row>
    <row r="76" spans="2:17">
      <c r="B76" s="31">
        <v>72</v>
      </c>
      <c r="C76" s="36">
        <v>21193</v>
      </c>
      <c r="D76" s="36">
        <v>33467</v>
      </c>
      <c r="E76" s="36">
        <v>42815</v>
      </c>
      <c r="F76" s="36">
        <v>25132</v>
      </c>
      <c r="G76" s="37">
        <v>0</v>
      </c>
      <c r="H76" s="36">
        <v>1305546</v>
      </c>
      <c r="I76" s="36">
        <v>1330678</v>
      </c>
      <c r="L76" s="35"/>
      <c r="M76" s="22"/>
      <c r="N76" s="29"/>
      <c r="O76" s="29"/>
      <c r="P76" s="29"/>
      <c r="Q76" s="29"/>
    </row>
    <row r="77" spans="2:17">
      <c r="B77" s="31">
        <v>73</v>
      </c>
      <c r="C77" s="36">
        <v>20777</v>
      </c>
      <c r="D77" s="36">
        <v>34136</v>
      </c>
      <c r="E77" s="36">
        <v>41974</v>
      </c>
      <c r="F77" s="36">
        <v>24765</v>
      </c>
      <c r="G77" s="37">
        <v>0</v>
      </c>
      <c r="H77" s="36">
        <v>1358612</v>
      </c>
      <c r="I77" s="36">
        <v>1383377</v>
      </c>
      <c r="L77" s="35"/>
      <c r="M77" s="22"/>
      <c r="N77" s="29"/>
      <c r="O77" s="29"/>
      <c r="P77" s="29"/>
      <c r="Q77" s="29"/>
    </row>
    <row r="78" spans="2:17">
      <c r="B78" s="31">
        <v>74</v>
      </c>
      <c r="C78" s="36">
        <v>20379</v>
      </c>
      <c r="D78" s="36">
        <v>34819</v>
      </c>
      <c r="E78" s="36">
        <v>41169</v>
      </c>
      <c r="F78" s="36">
        <v>24372</v>
      </c>
      <c r="G78" s="37">
        <v>0</v>
      </c>
      <c r="H78" s="36">
        <v>1414392</v>
      </c>
      <c r="I78" s="36">
        <v>1438764</v>
      </c>
      <c r="L78" s="35"/>
      <c r="M78" s="22"/>
      <c r="N78" s="29"/>
      <c r="O78" s="29"/>
      <c r="P78" s="29"/>
      <c r="Q78" s="29"/>
    </row>
    <row r="79" spans="2:17">
      <c r="B79" s="38">
        <v>75</v>
      </c>
      <c r="C79" s="39">
        <v>19997</v>
      </c>
      <c r="D79" s="39">
        <v>35515</v>
      </c>
      <c r="E79" s="39">
        <v>40398</v>
      </c>
      <c r="F79" s="39">
        <v>23996</v>
      </c>
      <c r="G79" s="40">
        <v>0</v>
      </c>
      <c r="H79" s="39">
        <v>1473059</v>
      </c>
      <c r="I79" s="39">
        <v>1497055</v>
      </c>
      <c r="L79" s="35"/>
      <c r="M79" s="22"/>
      <c r="N79" s="29"/>
      <c r="O79" s="29"/>
      <c r="P79" s="29"/>
      <c r="Q79" s="29"/>
    </row>
    <row r="80" spans="2:17">
      <c r="B80" s="32">
        <v>76</v>
      </c>
      <c r="C80" s="33">
        <v>19631</v>
      </c>
      <c r="D80" s="33">
        <v>36225</v>
      </c>
      <c r="E80" s="33">
        <v>39659</v>
      </c>
      <c r="F80" s="33">
        <v>23637</v>
      </c>
      <c r="G80" s="34">
        <v>0</v>
      </c>
      <c r="H80" s="33">
        <v>1534820</v>
      </c>
      <c r="I80" s="33">
        <v>1558457</v>
      </c>
      <c r="L80" s="35"/>
      <c r="M80" s="22"/>
      <c r="N80" s="29"/>
      <c r="O80" s="29"/>
      <c r="P80" s="29"/>
      <c r="Q80" s="29"/>
    </row>
    <row r="81" spans="2:17">
      <c r="B81" s="31">
        <v>77</v>
      </c>
      <c r="C81" s="36">
        <v>19282</v>
      </c>
      <c r="D81" s="36">
        <v>36950</v>
      </c>
      <c r="E81" s="36">
        <v>38953</v>
      </c>
      <c r="F81" s="36">
        <v>23333</v>
      </c>
      <c r="G81" s="37">
        <v>0</v>
      </c>
      <c r="H81" s="36">
        <v>1599755</v>
      </c>
      <c r="I81" s="36">
        <v>1623087</v>
      </c>
      <c r="L81" s="35"/>
      <c r="M81" s="22"/>
      <c r="N81" s="29"/>
      <c r="O81" s="29"/>
      <c r="P81" s="29"/>
      <c r="Q81" s="29"/>
    </row>
    <row r="82" spans="2:17">
      <c r="B82" s="31">
        <v>78</v>
      </c>
      <c r="C82" s="36">
        <v>18947</v>
      </c>
      <c r="D82" s="36">
        <v>37689</v>
      </c>
      <c r="E82" s="36">
        <v>38277</v>
      </c>
      <c r="F82" s="36">
        <v>23043</v>
      </c>
      <c r="G82" s="37">
        <v>0</v>
      </c>
      <c r="H82" s="36">
        <v>1668176</v>
      </c>
      <c r="I82" s="36">
        <v>1691218</v>
      </c>
      <c r="L82" s="35"/>
      <c r="M82" s="22"/>
      <c r="N82" s="29"/>
      <c r="O82" s="29"/>
      <c r="P82" s="29"/>
      <c r="Q82" s="29"/>
    </row>
    <row r="83" spans="2:17">
      <c r="B83" s="31">
        <v>79</v>
      </c>
      <c r="C83" s="36">
        <v>18627</v>
      </c>
      <c r="D83" s="36">
        <v>38443</v>
      </c>
      <c r="E83" s="36">
        <v>37630</v>
      </c>
      <c r="F83" s="36">
        <v>22728</v>
      </c>
      <c r="G83" s="37">
        <v>0</v>
      </c>
      <c r="H83" s="36">
        <v>1740231</v>
      </c>
      <c r="I83" s="36">
        <v>1762959</v>
      </c>
      <c r="L83" s="35"/>
      <c r="M83" s="22"/>
      <c r="N83" s="29"/>
      <c r="O83" s="29"/>
      <c r="P83" s="29"/>
      <c r="Q83" s="29"/>
    </row>
    <row r="84" spans="2:17">
      <c r="B84" s="38">
        <v>80</v>
      </c>
      <c r="C84" s="39">
        <v>18321</v>
      </c>
      <c r="D84" s="39">
        <v>39211</v>
      </c>
      <c r="E84" s="39">
        <v>37011</v>
      </c>
      <c r="F84" s="39">
        <v>22466</v>
      </c>
      <c r="G84" s="40">
        <v>0</v>
      </c>
      <c r="H84" s="39">
        <v>1816178</v>
      </c>
      <c r="I84" s="39">
        <v>1838644</v>
      </c>
      <c r="L84" s="35"/>
      <c r="M84" s="22"/>
      <c r="N84" s="29"/>
      <c r="O84" s="29"/>
      <c r="P84" s="29"/>
      <c r="Q84" s="29"/>
    </row>
    <row r="85" spans="2:17">
      <c r="B85" s="32">
        <v>81</v>
      </c>
      <c r="C85" s="33">
        <v>18028</v>
      </c>
      <c r="D85" s="33">
        <v>39996</v>
      </c>
      <c r="E85" s="33">
        <v>36420</v>
      </c>
      <c r="F85" s="33">
        <v>22216</v>
      </c>
      <c r="G85" s="34">
        <v>0</v>
      </c>
      <c r="H85" s="33">
        <v>1896230</v>
      </c>
      <c r="I85" s="33">
        <v>1918446</v>
      </c>
      <c r="L85" s="35"/>
      <c r="M85" s="22"/>
      <c r="N85" s="29"/>
      <c r="O85" s="29"/>
      <c r="P85" s="29"/>
      <c r="Q85" s="29"/>
    </row>
    <row r="86" spans="2:17">
      <c r="B86" s="31">
        <v>82</v>
      </c>
      <c r="C86" s="36">
        <v>17748</v>
      </c>
      <c r="D86" s="36">
        <v>40795</v>
      </c>
      <c r="E86" s="36">
        <v>35854</v>
      </c>
      <c r="F86" s="36">
        <v>21943</v>
      </c>
      <c r="G86" s="37">
        <v>0</v>
      </c>
      <c r="H86" s="36">
        <v>1980667</v>
      </c>
      <c r="I86" s="36">
        <v>2002610</v>
      </c>
      <c r="L86" s="35"/>
      <c r="M86" s="22"/>
      <c r="N86" s="29"/>
      <c r="O86" s="29"/>
      <c r="P86" s="29"/>
      <c r="Q86" s="29"/>
    </row>
    <row r="87" spans="2:17">
      <c r="B87" s="31">
        <v>83</v>
      </c>
      <c r="C87" s="36">
        <v>17481</v>
      </c>
      <c r="D87" s="36">
        <v>41611</v>
      </c>
      <c r="E87" s="36">
        <v>35314</v>
      </c>
      <c r="F87" s="36">
        <v>21718</v>
      </c>
      <c r="G87" s="37">
        <v>0</v>
      </c>
      <c r="H87" s="36">
        <v>2069728</v>
      </c>
      <c r="I87" s="36">
        <v>2091446</v>
      </c>
      <c r="L87" s="35"/>
      <c r="M87" s="22"/>
      <c r="N87" s="29"/>
      <c r="O87" s="29"/>
      <c r="P87" s="29"/>
      <c r="Q87" s="29"/>
    </row>
    <row r="88" spans="2:17">
      <c r="B88" s="31">
        <v>84</v>
      </c>
      <c r="C88" s="36">
        <v>17399</v>
      </c>
      <c r="D88" s="36">
        <v>42444</v>
      </c>
      <c r="E88" s="36">
        <v>34798</v>
      </c>
      <c r="F88" s="36">
        <v>21505</v>
      </c>
      <c r="G88" s="37">
        <v>0</v>
      </c>
      <c r="H88" s="36">
        <v>2163750</v>
      </c>
      <c r="I88" s="36">
        <v>2185255</v>
      </c>
      <c r="L88" s="35"/>
      <c r="M88" s="22"/>
      <c r="N88" s="29"/>
      <c r="O88" s="29"/>
      <c r="P88" s="29"/>
      <c r="Q88" s="29"/>
    </row>
    <row r="89" spans="2:17">
      <c r="B89" s="38">
        <v>85</v>
      </c>
      <c r="C89" s="39">
        <v>17153</v>
      </c>
      <c r="D89" s="39">
        <v>43293</v>
      </c>
      <c r="E89" s="39">
        <v>34305</v>
      </c>
      <c r="F89" s="39">
        <v>21269</v>
      </c>
      <c r="G89" s="40">
        <v>0</v>
      </c>
      <c r="H89" s="39">
        <v>2262994</v>
      </c>
      <c r="I89" s="39">
        <v>2284264</v>
      </c>
      <c r="L89" s="35"/>
      <c r="M89" s="22"/>
      <c r="N89" s="29"/>
      <c r="O89" s="29"/>
      <c r="P89" s="29"/>
      <c r="Q89" s="29"/>
    </row>
    <row r="90" spans="2:17">
      <c r="B90" s="32">
        <v>86</v>
      </c>
      <c r="C90" s="33">
        <v>16918</v>
      </c>
      <c r="D90" s="33">
        <v>44158</v>
      </c>
      <c r="E90" s="33">
        <v>33835</v>
      </c>
      <c r="F90" s="33">
        <v>21079</v>
      </c>
      <c r="G90" s="34">
        <v>0</v>
      </c>
      <c r="H90" s="33">
        <v>2367755</v>
      </c>
      <c r="I90" s="33">
        <v>2388834</v>
      </c>
      <c r="L90" s="35"/>
      <c r="M90" s="22"/>
      <c r="N90" s="29"/>
      <c r="O90" s="29"/>
      <c r="P90" s="29"/>
      <c r="Q90" s="29"/>
    </row>
    <row r="91" spans="2:17">
      <c r="B91" s="31">
        <v>87</v>
      </c>
      <c r="C91" s="36">
        <v>16693</v>
      </c>
      <c r="D91" s="36">
        <v>45042</v>
      </c>
      <c r="E91" s="36">
        <v>33387</v>
      </c>
      <c r="F91" s="36">
        <v>20900</v>
      </c>
      <c r="G91" s="37">
        <v>0</v>
      </c>
      <c r="H91" s="36">
        <v>2478451</v>
      </c>
      <c r="I91" s="36">
        <v>2499351</v>
      </c>
      <c r="L91" s="35"/>
      <c r="M91" s="22"/>
      <c r="N91" s="29"/>
      <c r="O91" s="29"/>
      <c r="P91" s="29"/>
      <c r="Q91" s="29"/>
    </row>
    <row r="92" spans="2:17">
      <c r="B92" s="31">
        <v>88</v>
      </c>
      <c r="C92" s="36">
        <v>16479</v>
      </c>
      <c r="D92" s="36">
        <v>45942</v>
      </c>
      <c r="E92" s="36">
        <v>32959</v>
      </c>
      <c r="F92" s="36">
        <v>20698</v>
      </c>
      <c r="G92" s="37">
        <v>0</v>
      </c>
      <c r="H92" s="36">
        <v>2595433</v>
      </c>
      <c r="I92" s="36">
        <v>2616131</v>
      </c>
      <c r="L92" s="35"/>
      <c r="M92" s="22"/>
      <c r="N92" s="29"/>
      <c r="O92" s="29"/>
      <c r="P92" s="29"/>
      <c r="Q92" s="29"/>
    </row>
    <row r="93" spans="2:17">
      <c r="B93" s="31">
        <v>89</v>
      </c>
      <c r="C93" s="36">
        <v>16275</v>
      </c>
      <c r="D93" s="36">
        <v>46861</v>
      </c>
      <c r="E93" s="36">
        <v>32551</v>
      </c>
      <c r="F93" s="36">
        <v>20540</v>
      </c>
      <c r="G93" s="37">
        <v>0</v>
      </c>
      <c r="H93" s="36">
        <v>2719041</v>
      </c>
      <c r="I93" s="36">
        <v>2739581</v>
      </c>
      <c r="L93" s="35"/>
      <c r="M93" s="22"/>
      <c r="N93" s="29"/>
      <c r="O93" s="29"/>
      <c r="P93" s="29"/>
      <c r="Q93" s="29"/>
    </row>
    <row r="94" spans="2:17">
      <c r="B94" s="38">
        <v>90</v>
      </c>
      <c r="C94" s="39">
        <v>16081</v>
      </c>
      <c r="D94" s="39">
        <v>47798</v>
      </c>
      <c r="E94" s="39">
        <v>32162</v>
      </c>
      <c r="F94" s="39">
        <v>20359</v>
      </c>
      <c r="G94" s="40">
        <v>0</v>
      </c>
      <c r="H94" s="39">
        <v>2849745</v>
      </c>
      <c r="I94" s="39">
        <v>2870104</v>
      </c>
      <c r="L94" s="35"/>
      <c r="M94" s="22"/>
      <c r="N94" s="29"/>
      <c r="O94" s="29"/>
      <c r="P94" s="29"/>
      <c r="Q94" s="29"/>
    </row>
    <row r="95" spans="2:17">
      <c r="B95" s="32">
        <v>91</v>
      </c>
      <c r="C95" s="33">
        <v>15896</v>
      </c>
      <c r="D95" s="33">
        <v>48754</v>
      </c>
      <c r="E95" s="33">
        <v>31792</v>
      </c>
      <c r="F95" s="33">
        <v>20284</v>
      </c>
      <c r="G95" s="34">
        <v>0</v>
      </c>
      <c r="H95" s="33">
        <v>2987911</v>
      </c>
      <c r="I95" s="33">
        <v>3008194</v>
      </c>
      <c r="L95" s="35"/>
      <c r="M95" s="22"/>
      <c r="N95" s="29"/>
      <c r="O95" s="29"/>
      <c r="P95" s="29"/>
      <c r="Q95" s="29"/>
    </row>
    <row r="96" spans="2:17">
      <c r="B96" s="31">
        <v>92</v>
      </c>
      <c r="C96" s="36">
        <v>15720</v>
      </c>
      <c r="D96" s="36">
        <v>49729</v>
      </c>
      <c r="E96" s="36">
        <v>31440</v>
      </c>
      <c r="F96" s="36">
        <v>20153</v>
      </c>
      <c r="G96" s="37">
        <v>0</v>
      </c>
      <c r="H96" s="36">
        <v>3134092</v>
      </c>
      <c r="I96" s="36">
        <v>3154245</v>
      </c>
      <c r="L96" s="35"/>
      <c r="M96" s="22"/>
      <c r="N96" s="29"/>
      <c r="O96" s="29"/>
      <c r="P96" s="29"/>
      <c r="Q96" s="29"/>
    </row>
    <row r="97" spans="2:17">
      <c r="B97" s="31">
        <v>93</v>
      </c>
      <c r="C97" s="36">
        <v>15553</v>
      </c>
      <c r="D97" s="36">
        <v>50724</v>
      </c>
      <c r="E97" s="36">
        <v>31105</v>
      </c>
      <c r="F97" s="36">
        <v>20063</v>
      </c>
      <c r="G97" s="37">
        <v>0</v>
      </c>
      <c r="H97" s="36">
        <v>3288740</v>
      </c>
      <c r="I97" s="36">
        <v>3308803</v>
      </c>
      <c r="L97" s="35"/>
      <c r="M97" s="22"/>
      <c r="N97" s="29"/>
      <c r="O97" s="29"/>
      <c r="P97" s="29"/>
      <c r="Q97" s="29"/>
    </row>
    <row r="98" spans="2:17">
      <c r="B98" s="31">
        <v>94</v>
      </c>
      <c r="C98" s="36">
        <v>15394</v>
      </c>
      <c r="D98" s="36">
        <v>51739</v>
      </c>
      <c r="E98" s="36">
        <v>30787</v>
      </c>
      <c r="F98" s="36">
        <v>19950</v>
      </c>
      <c r="G98" s="37">
        <v>0</v>
      </c>
      <c r="H98" s="36">
        <v>3452461</v>
      </c>
      <c r="I98" s="36">
        <v>3472411</v>
      </c>
      <c r="L98" s="35"/>
      <c r="M98" s="22"/>
      <c r="N98" s="29"/>
      <c r="O98" s="29"/>
      <c r="P98" s="29"/>
      <c r="Q98" s="29"/>
    </row>
    <row r="99" spans="2:17">
      <c r="B99" s="38">
        <v>95</v>
      </c>
      <c r="C99" s="39">
        <v>15242</v>
      </c>
      <c r="D99" s="39">
        <v>52773</v>
      </c>
      <c r="E99" s="39">
        <v>30485</v>
      </c>
      <c r="F99" s="39">
        <v>19830</v>
      </c>
      <c r="G99" s="40">
        <v>0</v>
      </c>
      <c r="H99" s="39">
        <v>3625761</v>
      </c>
      <c r="I99" s="39">
        <v>3645591</v>
      </c>
      <c r="L99" s="35"/>
      <c r="M99" s="22"/>
      <c r="N99" s="29"/>
      <c r="O99" s="29"/>
      <c r="P99" s="29"/>
      <c r="Q99" s="29"/>
    </row>
    <row r="100" spans="2:17">
      <c r="B100" s="32">
        <v>96</v>
      </c>
      <c r="C100" s="33">
        <v>15099</v>
      </c>
      <c r="D100" s="33">
        <v>53829</v>
      </c>
      <c r="E100" s="33">
        <v>30198</v>
      </c>
      <c r="F100" s="33">
        <v>19719</v>
      </c>
      <c r="G100" s="34">
        <v>0</v>
      </c>
      <c r="H100" s="33">
        <v>3809234</v>
      </c>
      <c r="I100" s="33">
        <v>3828953</v>
      </c>
      <c r="L100" s="35"/>
      <c r="M100" s="22"/>
      <c r="N100" s="29"/>
      <c r="O100" s="29"/>
      <c r="P100" s="29"/>
      <c r="Q100" s="29"/>
    </row>
    <row r="101" spans="2:17">
      <c r="B101" s="31">
        <v>97</v>
      </c>
      <c r="C101" s="36">
        <v>14963</v>
      </c>
      <c r="D101" s="36">
        <v>54905</v>
      </c>
      <c r="E101" s="36">
        <v>29926</v>
      </c>
      <c r="F101" s="36">
        <v>19631</v>
      </c>
      <c r="G101" s="37">
        <v>0</v>
      </c>
      <c r="H101" s="36">
        <v>4003564</v>
      </c>
      <c r="I101" s="36">
        <v>4023195</v>
      </c>
      <c r="L101" s="35"/>
      <c r="M101" s="22"/>
      <c r="N101" s="29"/>
      <c r="O101" s="29"/>
      <c r="P101" s="29"/>
      <c r="Q101" s="29"/>
    </row>
    <row r="102" spans="2:17">
      <c r="B102" s="31">
        <v>98</v>
      </c>
      <c r="C102" s="36">
        <v>14834</v>
      </c>
      <c r="D102" s="36">
        <v>56003</v>
      </c>
      <c r="E102" s="36">
        <v>29668</v>
      </c>
      <c r="F102" s="36">
        <v>19551</v>
      </c>
      <c r="G102" s="37">
        <v>0</v>
      </c>
      <c r="H102" s="36">
        <v>4209399</v>
      </c>
      <c r="I102" s="36">
        <v>4228950</v>
      </c>
      <c r="L102" s="35"/>
      <c r="M102" s="22"/>
      <c r="N102" s="29"/>
      <c r="O102" s="29"/>
      <c r="P102" s="29"/>
      <c r="Q102" s="29"/>
    </row>
    <row r="103" spans="2:17">
      <c r="B103" s="31">
        <v>99</v>
      </c>
      <c r="C103" s="36">
        <v>14712</v>
      </c>
      <c r="D103" s="36">
        <v>57124</v>
      </c>
      <c r="E103" s="36">
        <v>29424</v>
      </c>
      <c r="F103" s="36">
        <v>19478</v>
      </c>
      <c r="G103" s="37">
        <v>0</v>
      </c>
      <c r="H103" s="36">
        <v>4427475</v>
      </c>
      <c r="I103" s="36">
        <v>4446954</v>
      </c>
      <c r="L103" s="35"/>
      <c r="M103" s="22"/>
      <c r="N103" s="29"/>
      <c r="O103" s="29"/>
      <c r="P103" s="29"/>
      <c r="Q103" s="29"/>
    </row>
    <row r="104" spans="2:17">
      <c r="B104" s="38">
        <v>100</v>
      </c>
      <c r="C104" s="39">
        <v>14596</v>
      </c>
      <c r="D104" s="39">
        <v>58266</v>
      </c>
      <c r="E104" s="39">
        <v>29193</v>
      </c>
      <c r="F104" s="39">
        <v>19442</v>
      </c>
      <c r="G104" s="40">
        <v>0</v>
      </c>
      <c r="H104" s="39">
        <v>4658526</v>
      </c>
      <c r="I104" s="39">
        <v>4677968</v>
      </c>
      <c r="L104" s="35"/>
      <c r="M104" s="22"/>
      <c r="N104" s="29"/>
      <c r="O104" s="29"/>
      <c r="P104" s="29"/>
      <c r="Q104" s="29"/>
    </row>
    <row r="105" spans="2:17">
      <c r="P105" s="41"/>
      <c r="Q105" s="42"/>
    </row>
  </sheetData>
  <mergeCells count="8">
    <mergeCell ref="A1:A3"/>
    <mergeCell ref="B1:B3"/>
    <mergeCell ref="C1:C3"/>
    <mergeCell ref="D1:D3"/>
    <mergeCell ref="E1:E3"/>
    <mergeCell ref="F1:I1"/>
    <mergeCell ref="G2:H2"/>
    <mergeCell ref="I2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提取参考：第11年6.7%+2%通胀调增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Wu</dc:creator>
  <cp:lastModifiedBy>Derek Wu</cp:lastModifiedBy>
  <dcterms:created xsi:type="dcterms:W3CDTF">2026-04-11T11:30:41Z</dcterms:created>
  <dcterms:modified xsi:type="dcterms:W3CDTF">2026-04-11T11:31:00Z</dcterms:modified>
</cp:coreProperties>
</file>
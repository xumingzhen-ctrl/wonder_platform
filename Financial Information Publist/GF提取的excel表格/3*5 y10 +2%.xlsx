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rek/Projects/Financial Information Publist/GF提取的excel表格/"/>
    </mc:Choice>
  </mc:AlternateContent>
  <xr:revisionPtr revIDLastSave="0" documentId="8_{17222C2A-5520-C74D-B725-65C86A50DA58}" xr6:coauthVersionLast="47" xr6:coauthVersionMax="47" xr10:uidLastSave="{00000000-0000-0000-0000-000000000000}"/>
  <bookViews>
    <workbookView xWindow="0" yWindow="660" windowWidth="34560" windowHeight="20340" xr2:uid="{E9ECC0F2-9BD1-8248-916C-4751776F9778}"/>
  </bookViews>
  <sheets>
    <sheet name="提取参考：第10年9%持续提取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4" i="1" l="1"/>
  <c r="N94" i="1"/>
  <c r="Q94" i="1" s="1"/>
  <c r="L94" i="1"/>
  <c r="N93" i="1"/>
  <c r="Q93" i="1" s="1"/>
  <c r="L93" i="1"/>
  <c r="Q92" i="1"/>
  <c r="N92" i="1"/>
  <c r="L92" i="1"/>
  <c r="N91" i="1"/>
  <c r="Q91" i="1" s="1"/>
  <c r="L91" i="1"/>
  <c r="N90" i="1"/>
  <c r="Q90" i="1" s="1"/>
  <c r="L90" i="1"/>
  <c r="N89" i="1"/>
  <c r="Q89" i="1" s="1"/>
  <c r="L89" i="1"/>
  <c r="Q88" i="1"/>
  <c r="N88" i="1"/>
  <c r="L88" i="1"/>
  <c r="N87" i="1"/>
  <c r="Q87" i="1" s="1"/>
  <c r="L87" i="1"/>
  <c r="Q86" i="1"/>
  <c r="N86" i="1"/>
  <c r="L86" i="1"/>
  <c r="N85" i="1"/>
  <c r="Q85" i="1" s="1"/>
  <c r="L85" i="1"/>
  <c r="N84" i="1"/>
  <c r="Q84" i="1" s="1"/>
  <c r="L84" i="1"/>
  <c r="N83" i="1"/>
  <c r="Q83" i="1" s="1"/>
  <c r="L83" i="1"/>
  <c r="Q82" i="1"/>
  <c r="N82" i="1"/>
  <c r="L82" i="1"/>
  <c r="N81" i="1"/>
  <c r="Q81" i="1" s="1"/>
  <c r="L81" i="1"/>
  <c r="N80" i="1"/>
  <c r="Q80" i="1" s="1"/>
  <c r="L80" i="1"/>
  <c r="N79" i="1"/>
  <c r="Q79" i="1" s="1"/>
  <c r="L79" i="1"/>
  <c r="Q78" i="1"/>
  <c r="N78" i="1"/>
  <c r="L78" i="1"/>
  <c r="N77" i="1"/>
  <c r="Q77" i="1" s="1"/>
  <c r="L77" i="1"/>
  <c r="Q76" i="1"/>
  <c r="N76" i="1"/>
  <c r="L76" i="1"/>
  <c r="N75" i="1"/>
  <c r="Q75" i="1" s="1"/>
  <c r="L75" i="1"/>
  <c r="N74" i="1"/>
  <c r="Q74" i="1" s="1"/>
  <c r="L74" i="1"/>
  <c r="N73" i="1"/>
  <c r="Q73" i="1" s="1"/>
  <c r="L73" i="1"/>
  <c r="Q72" i="1"/>
  <c r="N72" i="1"/>
  <c r="L72" i="1"/>
  <c r="N71" i="1"/>
  <c r="Q71" i="1" s="1"/>
  <c r="L71" i="1"/>
  <c r="N70" i="1"/>
  <c r="Q70" i="1" s="1"/>
  <c r="L70" i="1"/>
  <c r="N69" i="1"/>
  <c r="Q69" i="1" s="1"/>
  <c r="L69" i="1"/>
  <c r="Q68" i="1"/>
  <c r="N68" i="1"/>
  <c r="L68" i="1"/>
  <c r="N67" i="1"/>
  <c r="Q67" i="1" s="1"/>
  <c r="L67" i="1"/>
  <c r="Q66" i="1"/>
  <c r="N66" i="1"/>
  <c r="L66" i="1"/>
  <c r="N65" i="1"/>
  <c r="Q65" i="1" s="1"/>
  <c r="L65" i="1"/>
  <c r="N64" i="1"/>
  <c r="Q64" i="1" s="1"/>
  <c r="L64" i="1"/>
  <c r="N63" i="1"/>
  <c r="Q63" i="1" s="1"/>
  <c r="L63" i="1"/>
  <c r="Q62" i="1"/>
  <c r="N62" i="1"/>
  <c r="L62" i="1"/>
  <c r="N61" i="1"/>
  <c r="Q61" i="1" s="1"/>
  <c r="L61" i="1"/>
  <c r="N60" i="1"/>
  <c r="Q60" i="1" s="1"/>
  <c r="L60" i="1"/>
  <c r="N59" i="1"/>
  <c r="Q59" i="1" s="1"/>
  <c r="L59" i="1"/>
  <c r="Q58" i="1"/>
  <c r="N58" i="1"/>
  <c r="L58" i="1"/>
  <c r="N57" i="1"/>
  <c r="Q57" i="1" s="1"/>
  <c r="L57" i="1"/>
  <c r="Q56" i="1"/>
  <c r="N56" i="1"/>
  <c r="L56" i="1"/>
  <c r="N55" i="1"/>
  <c r="Q55" i="1" s="1"/>
  <c r="L55" i="1"/>
  <c r="N54" i="1"/>
  <c r="Q54" i="1" s="1"/>
  <c r="L54" i="1"/>
  <c r="N53" i="1"/>
  <c r="Q53" i="1" s="1"/>
  <c r="L53" i="1"/>
  <c r="Q52" i="1"/>
  <c r="N52" i="1"/>
  <c r="L52" i="1"/>
  <c r="N51" i="1"/>
  <c r="Q51" i="1" s="1"/>
  <c r="L51" i="1"/>
  <c r="N50" i="1"/>
  <c r="Q50" i="1" s="1"/>
  <c r="L50" i="1"/>
  <c r="N49" i="1"/>
  <c r="Q49" i="1" s="1"/>
  <c r="L49" i="1"/>
  <c r="Q48" i="1"/>
  <c r="N48" i="1"/>
  <c r="L48" i="1"/>
  <c r="N47" i="1"/>
  <c r="Q47" i="1" s="1"/>
  <c r="L47" i="1"/>
  <c r="Q46" i="1"/>
  <c r="N46" i="1"/>
  <c r="L46" i="1"/>
  <c r="N45" i="1"/>
  <c r="Q45" i="1" s="1"/>
  <c r="L45" i="1"/>
  <c r="N44" i="1"/>
  <c r="Q44" i="1" s="1"/>
  <c r="L44" i="1"/>
  <c r="N43" i="1"/>
  <c r="Q43" i="1" s="1"/>
  <c r="L43" i="1"/>
  <c r="Q42" i="1"/>
  <c r="N42" i="1"/>
  <c r="L42" i="1"/>
  <c r="N41" i="1"/>
  <c r="Q41" i="1" s="1"/>
  <c r="L41" i="1"/>
  <c r="N40" i="1"/>
  <c r="Q40" i="1" s="1"/>
  <c r="L40" i="1"/>
  <c r="N39" i="1"/>
  <c r="Q39" i="1" s="1"/>
  <c r="L39" i="1"/>
  <c r="Q38" i="1"/>
  <c r="N38" i="1"/>
  <c r="L38" i="1"/>
  <c r="N37" i="1"/>
  <c r="Q37" i="1" s="1"/>
  <c r="L37" i="1"/>
  <c r="A37" i="1"/>
  <c r="N36" i="1"/>
  <c r="Q36" i="1" s="1"/>
  <c r="L36" i="1"/>
  <c r="A36" i="1"/>
  <c r="N35" i="1"/>
  <c r="Q35" i="1" s="1"/>
  <c r="L35" i="1"/>
  <c r="A35" i="1"/>
  <c r="N34" i="1"/>
  <c r="Q34" i="1" s="1"/>
  <c r="L34" i="1"/>
  <c r="A34" i="1"/>
  <c r="N33" i="1"/>
  <c r="Q33" i="1" s="1"/>
  <c r="L33" i="1"/>
  <c r="A33" i="1"/>
  <c r="N32" i="1"/>
  <c r="Q32" i="1" s="1"/>
  <c r="L32" i="1"/>
  <c r="A32" i="1"/>
  <c r="N31" i="1"/>
  <c r="Q31" i="1" s="1"/>
  <c r="L31" i="1"/>
  <c r="A31" i="1"/>
  <c r="N30" i="1"/>
  <c r="Q30" i="1" s="1"/>
  <c r="L30" i="1"/>
  <c r="A30" i="1"/>
  <c r="N29" i="1"/>
  <c r="Q29" i="1" s="1"/>
  <c r="L29" i="1"/>
  <c r="A29" i="1"/>
  <c r="N28" i="1"/>
  <c r="Q28" i="1" s="1"/>
  <c r="L28" i="1"/>
  <c r="A28" i="1"/>
  <c r="N27" i="1"/>
  <c r="Q27" i="1" s="1"/>
  <c r="L27" i="1"/>
  <c r="A27" i="1"/>
  <c r="N26" i="1"/>
  <c r="Q26" i="1" s="1"/>
  <c r="L26" i="1"/>
  <c r="A26" i="1"/>
  <c r="N25" i="1"/>
  <c r="Q25" i="1" s="1"/>
  <c r="L25" i="1"/>
  <c r="A25" i="1"/>
  <c r="N24" i="1"/>
  <c r="Q24" i="1" s="1"/>
  <c r="L24" i="1"/>
  <c r="A24" i="1"/>
  <c r="N23" i="1"/>
  <c r="Q23" i="1" s="1"/>
  <c r="L23" i="1"/>
  <c r="A23" i="1"/>
  <c r="N22" i="1"/>
  <c r="Q22" i="1" s="1"/>
  <c r="L22" i="1"/>
  <c r="A22" i="1"/>
  <c r="N21" i="1"/>
  <c r="Q21" i="1" s="1"/>
  <c r="L21" i="1"/>
  <c r="A21" i="1"/>
  <c r="N20" i="1"/>
  <c r="Q20" i="1" s="1"/>
  <c r="L20" i="1"/>
  <c r="A20" i="1"/>
  <c r="N19" i="1"/>
  <c r="Q19" i="1" s="1"/>
  <c r="L19" i="1"/>
  <c r="A19" i="1"/>
  <c r="N18" i="1"/>
  <c r="Q18" i="1" s="1"/>
  <c r="L18" i="1"/>
  <c r="A18" i="1"/>
  <c r="N17" i="1"/>
  <c r="Q17" i="1" s="1"/>
  <c r="L17" i="1"/>
  <c r="A17" i="1"/>
  <c r="N16" i="1"/>
  <c r="Q16" i="1" s="1"/>
  <c r="L16" i="1"/>
  <c r="A16" i="1"/>
  <c r="N15" i="1"/>
  <c r="Q15" i="1" s="1"/>
  <c r="L15" i="1"/>
  <c r="A15" i="1"/>
  <c r="N14" i="1"/>
  <c r="Q14" i="1" s="1"/>
  <c r="L14" i="1"/>
  <c r="A14" i="1"/>
  <c r="N13" i="1"/>
  <c r="Q13" i="1" s="1"/>
  <c r="L13" i="1"/>
  <c r="A13" i="1"/>
  <c r="N12" i="1"/>
  <c r="Q12" i="1" s="1"/>
  <c r="L12" i="1"/>
  <c r="A12" i="1"/>
  <c r="N11" i="1"/>
  <c r="Q11" i="1" s="1"/>
  <c r="L11" i="1"/>
  <c r="A11" i="1"/>
  <c r="N10" i="1"/>
  <c r="Q10" i="1" s="1"/>
  <c r="L10" i="1"/>
  <c r="A10" i="1"/>
  <c r="Q9" i="1"/>
  <c r="L9" i="1"/>
  <c r="A9" i="1"/>
  <c r="L8" i="1"/>
  <c r="A8" i="1"/>
  <c r="L7" i="1"/>
  <c r="A7" i="1"/>
  <c r="L6" i="1"/>
  <c r="A6" i="1"/>
  <c r="O5" i="1"/>
  <c r="L5" i="1"/>
  <c r="A5" i="1"/>
  <c r="M4" i="1"/>
  <c r="Q4" i="1" s="1"/>
  <c r="M5" i="1" l="1"/>
  <c r="Q5" i="1" l="1"/>
  <c r="M6" i="1"/>
  <c r="M7" i="1" l="1"/>
  <c r="Q6" i="1"/>
  <c r="Q7" i="1" l="1"/>
  <c r="Q95" i="1" s="1"/>
  <c r="M8" i="1"/>
  <c r="Q8" i="1" s="1"/>
</calcChain>
</file>

<file path=xl/sharedStrings.xml><?xml version="1.0" encoding="utf-8"?>
<sst xmlns="http://schemas.openxmlformats.org/spreadsheetml/2006/main" count="20" uniqueCount="20">
  <si>
    <r>
      <rPr>
        <sz val="9"/>
        <rFont val="Microsoft JhengHei"/>
        <family val="2"/>
      </rPr>
      <t>年龄</t>
    </r>
  </si>
  <si>
    <r>
      <rPr>
        <sz val="9"/>
        <rFont val="Microsoft JhengHei"/>
        <family val="2"/>
      </rPr>
      <t>保单年度终结</t>
    </r>
  </si>
  <si>
    <r>
      <rPr>
        <sz val="9"/>
        <rFont val="Microsoft JhengHei"/>
        <family val="2"/>
      </rPr>
      <t>缴付保费总额</t>
    </r>
  </si>
  <si>
    <r>
      <rPr>
        <sz val="9"/>
        <rFont val="Microsoft JhengHei"/>
        <family val="2"/>
      </rPr>
      <t>现金提取</t>
    </r>
    <r>
      <rPr>
        <vertAlign val="subscript"/>
        <sz val="9"/>
        <rFont val="Microsoft JhengHei"/>
        <family val="2"/>
      </rPr>
      <t>金额</t>
    </r>
    <r>
      <rPr>
        <sz val="6"/>
        <rFont val="Microsoft JhengHei"/>
        <family val="2"/>
      </rPr>
      <t>(1),(2)</t>
    </r>
  </si>
  <si>
    <r>
      <rPr>
        <sz val="9"/>
        <rFont val="Microsoft JhengHei"/>
        <family val="2"/>
      </rPr>
      <t>现金提取后之基本金额</t>
    </r>
  </si>
  <si>
    <r>
      <rPr>
        <sz val="9"/>
        <rFont val="Microsoft JhengHei"/>
        <family val="2"/>
      </rPr>
      <t>现金提取后之退保发还金额</t>
    </r>
  </si>
  <si>
    <r>
      <rPr>
        <sz val="9"/>
        <rFont val="Microsoft JhengHei"/>
        <family val="2"/>
      </rPr>
      <t>保证金额</t>
    </r>
    <r>
      <rPr>
        <vertAlign val="superscript"/>
        <sz val="6"/>
        <rFont val="Microsoft JhengHei"/>
        <family val="2"/>
      </rPr>
      <t>(2)</t>
    </r>
  </si>
  <si>
    <r>
      <rPr>
        <sz val="9"/>
        <rFont val="Microsoft JhengHei"/>
        <family val="2"/>
      </rPr>
      <t>非保证金额</t>
    </r>
  </si>
  <si>
    <r>
      <rPr>
        <sz val="9"/>
        <rFont val="Microsoft JhengHei"/>
        <family val="2"/>
      </rPr>
      <t>总额 (A)+(B)+(C)</t>
    </r>
  </si>
  <si>
    <r>
      <rPr>
        <sz val="9"/>
        <rFont val="Microsoft JhengHei"/>
        <family val="2"/>
      </rPr>
      <t xml:space="preserve">保证现金价值
</t>
    </r>
    <r>
      <rPr>
        <sz val="9"/>
        <rFont val="Microsoft JhengHei"/>
        <family val="2"/>
      </rPr>
      <t>(A)</t>
    </r>
  </si>
  <si>
    <r>
      <rPr>
        <sz val="9"/>
        <rFont val="Microsoft JhengHei"/>
        <family val="2"/>
      </rPr>
      <t xml:space="preserve">复归红利
</t>
    </r>
    <r>
      <rPr>
        <sz val="9"/>
        <rFont val="Microsoft JhengHei"/>
        <family val="2"/>
      </rPr>
      <t>(B)</t>
    </r>
  </si>
  <si>
    <r>
      <rPr>
        <sz val="9"/>
        <rFont val="Microsoft JhengHei"/>
        <family val="2"/>
      </rPr>
      <t xml:space="preserve">终期分红
</t>
    </r>
    <r>
      <rPr>
        <sz val="9"/>
        <rFont val="Microsoft JhengHei"/>
        <family val="2"/>
      </rPr>
      <t>(C)</t>
    </r>
  </si>
  <si>
    <t>保单年度</t>
  </si>
  <si>
    <t>保费投入</t>
  </si>
  <si>
    <t>提取金额</t>
  </si>
  <si>
    <t>优惠金额</t>
  </si>
  <si>
    <t>退保现金价值</t>
  </si>
  <si>
    <t>现金流</t>
  </si>
  <si>
    <t>优惠比率</t>
  </si>
  <si>
    <t>IRR=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</si>
</sst>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name val="Microsoft JhengHei"/>
      <family val="2"/>
      <charset val="136"/>
    </font>
    <font>
      <sz val="9"/>
      <name val="Microsoft JhengHei"/>
      <family val="2"/>
    </font>
    <font>
      <vertAlign val="subscript"/>
      <sz val="9"/>
      <name val="Microsoft JhengHei"/>
      <family val="2"/>
    </font>
    <font>
      <sz val="6"/>
      <name val="Microsoft JhengHei"/>
      <family val="2"/>
    </font>
    <font>
      <vertAlign val="superscript"/>
      <sz val="6"/>
      <name val="Microsoft JhengHei"/>
      <family val="2"/>
    </font>
    <font>
      <sz val="9"/>
      <color rgb="FF000000"/>
      <name val="Arial MT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3"/>
    </xf>
    <xf numFmtId="0" fontId="0" fillId="0" borderId="1" xfId="0" applyBorder="1" applyAlignment="1">
      <alignment horizontal="left" vertical="top" wrapText="1" indent="3"/>
    </xf>
    <xf numFmtId="0" fontId="2" fillId="0" borderId="1" xfId="0" applyFont="1" applyBorder="1" applyAlignment="1">
      <alignment horizontal="left" vertical="top" wrapText="1" indent="2"/>
    </xf>
    <xf numFmtId="0" fontId="2" fillId="0" borderId="2" xfId="0" applyFont="1" applyBorder="1" applyAlignment="1">
      <alignment horizontal="left" vertical="top" wrapText="1" indent="8"/>
    </xf>
    <xf numFmtId="0" fontId="2" fillId="0" borderId="3" xfId="0" applyFont="1" applyBorder="1" applyAlignment="1">
      <alignment horizontal="left" vertical="top" wrapText="1" indent="8"/>
    </xf>
    <xf numFmtId="0" fontId="2" fillId="0" borderId="4" xfId="0" applyFont="1" applyBorder="1" applyAlignment="1">
      <alignment horizontal="left" vertical="top" wrapText="1" indent="8"/>
    </xf>
    <xf numFmtId="0" fontId="2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 indent="3"/>
    </xf>
    <xf numFmtId="0" fontId="0" fillId="0" borderId="5" xfId="0" applyBorder="1" applyAlignment="1">
      <alignment horizontal="left" vertical="top" wrapText="1" indent="3"/>
    </xf>
    <xf numFmtId="0" fontId="2" fillId="0" borderId="5" xfId="0" applyFont="1" applyBorder="1" applyAlignment="1">
      <alignment horizontal="left" vertical="top" wrapText="1" indent="2"/>
    </xf>
    <xf numFmtId="0" fontId="0" fillId="0" borderId="6" xfId="0" applyBorder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 indent="4"/>
    </xf>
    <xf numFmtId="0" fontId="2" fillId="0" borderId="4" xfId="0" applyFont="1" applyBorder="1" applyAlignment="1">
      <alignment horizontal="left" vertical="top" wrapText="1" indent="4"/>
    </xf>
    <xf numFmtId="0" fontId="2" fillId="0" borderId="1" xfId="0" applyFont="1" applyBorder="1" applyAlignment="1">
      <alignment horizontal="left" vertical="top" wrapText="1" indent="1"/>
    </xf>
    <xf numFmtId="0" fontId="2" fillId="0" borderId="7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 indent="3"/>
    </xf>
    <xf numFmtId="0" fontId="0" fillId="0" borderId="7" xfId="0" applyBorder="1" applyAlignment="1">
      <alignment horizontal="left" vertical="top" wrapText="1" indent="3"/>
    </xf>
    <xf numFmtId="0" fontId="2" fillId="0" borderId="7" xfId="0" applyFont="1" applyBorder="1" applyAlignment="1">
      <alignment horizontal="left" vertical="top" wrapText="1" indent="2"/>
    </xf>
    <xf numFmtId="0" fontId="0" fillId="0" borderId="6" xfId="0" applyBorder="1" applyAlignment="1">
      <alignment horizontal="center" vertical="top" wrapText="1"/>
    </xf>
    <xf numFmtId="0" fontId="2" fillId="0" borderId="7" xfId="0" applyFont="1" applyBorder="1" applyAlignment="1">
      <alignment horizontal="left" vertical="top" wrapText="1" indent="1"/>
    </xf>
    <xf numFmtId="0" fontId="0" fillId="0" borderId="8" xfId="0" applyBorder="1"/>
    <xf numFmtId="0" fontId="2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 indent="3"/>
    </xf>
    <xf numFmtId="0" fontId="0" fillId="0" borderId="5" xfId="0" applyBorder="1" applyAlignment="1">
      <alignment horizontal="left" vertical="top" wrapText="1" indent="3"/>
    </xf>
    <xf numFmtId="0" fontId="2" fillId="0" borderId="5" xfId="0" applyFont="1" applyBorder="1" applyAlignment="1">
      <alignment horizontal="left" vertical="top" wrapText="1" indent="2"/>
    </xf>
    <xf numFmtId="0" fontId="0" fillId="0" borderId="1" xfId="0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 indent="1"/>
    </xf>
    <xf numFmtId="3" fontId="0" fillId="0" borderId="8" xfId="0" applyNumberFormat="1" applyBorder="1"/>
    <xf numFmtId="9" fontId="0" fillId="0" borderId="0" xfId="0" applyNumberFormat="1"/>
    <xf numFmtId="1" fontId="7" fillId="0" borderId="5" xfId="0" applyNumberFormat="1" applyFont="1" applyBorder="1" applyAlignment="1">
      <alignment horizontal="center" vertical="top" shrinkToFit="1"/>
    </xf>
    <xf numFmtId="1" fontId="7" fillId="0" borderId="1" xfId="0" applyNumberFormat="1" applyFont="1" applyBorder="1" applyAlignment="1">
      <alignment horizontal="center" vertical="top" shrinkToFit="1"/>
    </xf>
    <xf numFmtId="3" fontId="7" fillId="0" borderId="1" xfId="0" applyNumberFormat="1" applyFont="1" applyBorder="1" applyAlignment="1">
      <alignment horizontal="right" vertical="top" shrinkToFit="1"/>
    </xf>
    <xf numFmtId="1" fontId="7" fillId="0" borderId="1" xfId="0" applyNumberFormat="1" applyFont="1" applyBorder="1" applyAlignment="1">
      <alignment horizontal="right" vertical="top" shrinkToFit="1"/>
    </xf>
    <xf numFmtId="1" fontId="7" fillId="0" borderId="8" xfId="0" applyNumberFormat="1" applyFont="1" applyBorder="1" applyAlignment="1">
      <alignment horizontal="right" vertical="top" shrinkToFit="1"/>
    </xf>
    <xf numFmtId="3" fontId="7" fillId="0" borderId="5" xfId="0" applyNumberFormat="1" applyFont="1" applyBorder="1" applyAlignment="1">
      <alignment horizontal="right" vertical="top" shrinkToFit="1"/>
    </xf>
    <xf numFmtId="1" fontId="7" fillId="0" borderId="5" xfId="0" applyNumberFormat="1" applyFont="1" applyBorder="1" applyAlignment="1">
      <alignment horizontal="right" vertical="top" shrinkToFit="1"/>
    </xf>
    <xf numFmtId="1" fontId="7" fillId="0" borderId="7" xfId="0" applyNumberFormat="1" applyFont="1" applyBorder="1" applyAlignment="1">
      <alignment horizontal="center" vertical="top" shrinkToFit="1"/>
    </xf>
    <xf numFmtId="3" fontId="7" fillId="0" borderId="7" xfId="0" applyNumberFormat="1" applyFont="1" applyBorder="1" applyAlignment="1">
      <alignment horizontal="right" vertical="top" shrinkToFit="1"/>
    </xf>
    <xf numFmtId="1" fontId="7" fillId="0" borderId="7" xfId="0" applyNumberFormat="1" applyFont="1" applyBorder="1" applyAlignment="1">
      <alignment horizontal="right" vertical="top" shrinkToFit="1"/>
    </xf>
    <xf numFmtId="0" fontId="8" fillId="0" borderId="0" xfId="0" applyFont="1" applyAlignment="1">
      <alignment horizontal="right"/>
    </xf>
    <xf numFmtId="10" fontId="8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rek/Projects/Financial%20Information%20Publist/GF&#25552;&#21462;&#30340;excel&#34920;&#26684;/withdraw%20plan.xlsx" TargetMode="External"/><Relationship Id="rId1" Type="http://schemas.openxmlformats.org/officeDocument/2006/relationships/externalLinkPath" Target="withdraw%20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5w5完全提取"/>
      <sheetName val="5w5 18年调增提取"/>
      <sheetName val="不提取累积情况"/>
      <sheetName val="提取参考：第10年9%持续提取"/>
      <sheetName val="提取参考：第11年6.7%+2%通胀调增"/>
      <sheetName val="提取参考：第15年9%通胀调增"/>
      <sheetName val="提取参考：第18年15%持续提取"/>
    </sheetNames>
    <sheetDataSet>
      <sheetData sheetId="0"/>
      <sheetData sheetId="1"/>
      <sheetData sheetId="2">
        <row r="4">
          <cell r="A4">
            <v>68</v>
          </cell>
        </row>
        <row r="5">
          <cell r="A5">
            <v>69</v>
          </cell>
        </row>
        <row r="6">
          <cell r="A6">
            <v>70</v>
          </cell>
        </row>
        <row r="7">
          <cell r="A7">
            <v>71</v>
          </cell>
        </row>
        <row r="8">
          <cell r="A8">
            <v>72</v>
          </cell>
        </row>
        <row r="9">
          <cell r="A9">
            <v>73</v>
          </cell>
        </row>
        <row r="10">
          <cell r="A10">
            <v>74</v>
          </cell>
        </row>
        <row r="11">
          <cell r="A11">
            <v>75</v>
          </cell>
        </row>
        <row r="12">
          <cell r="A12">
            <v>76</v>
          </cell>
        </row>
        <row r="13">
          <cell r="A13">
            <v>77</v>
          </cell>
        </row>
        <row r="14">
          <cell r="A14">
            <v>78</v>
          </cell>
        </row>
        <row r="15">
          <cell r="A15">
            <v>79</v>
          </cell>
        </row>
        <row r="16">
          <cell r="A16">
            <v>80</v>
          </cell>
        </row>
        <row r="17">
          <cell r="A17">
            <v>81</v>
          </cell>
        </row>
        <row r="18">
          <cell r="A18">
            <v>82</v>
          </cell>
        </row>
        <row r="19">
          <cell r="A19">
            <v>83</v>
          </cell>
        </row>
        <row r="20">
          <cell r="A20">
            <v>84</v>
          </cell>
        </row>
        <row r="21">
          <cell r="A21">
            <v>85</v>
          </cell>
        </row>
        <row r="22">
          <cell r="A22">
            <v>86</v>
          </cell>
        </row>
        <row r="23">
          <cell r="A23">
            <v>87</v>
          </cell>
        </row>
        <row r="24">
          <cell r="A24">
            <v>88</v>
          </cell>
        </row>
        <row r="25">
          <cell r="A25">
            <v>89</v>
          </cell>
        </row>
        <row r="26">
          <cell r="A26">
            <v>90</v>
          </cell>
        </row>
        <row r="27">
          <cell r="A27">
            <v>91</v>
          </cell>
        </row>
        <row r="28">
          <cell r="A28">
            <v>92</v>
          </cell>
        </row>
        <row r="29">
          <cell r="A29">
            <v>93</v>
          </cell>
        </row>
        <row r="30">
          <cell r="A30">
            <v>94</v>
          </cell>
        </row>
        <row r="31">
          <cell r="A31">
            <v>95</v>
          </cell>
        </row>
        <row r="32">
          <cell r="A32">
            <v>96</v>
          </cell>
        </row>
        <row r="33">
          <cell r="A33">
            <v>97</v>
          </cell>
        </row>
        <row r="34">
          <cell r="A34">
            <v>98</v>
          </cell>
        </row>
        <row r="35">
          <cell r="A35">
            <v>99</v>
          </cell>
        </row>
        <row r="36">
          <cell r="A36">
            <v>100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70D54-685C-AD49-B9F4-5CBB4DB23ACF}">
  <dimension ref="A1:T95"/>
  <sheetViews>
    <sheetView tabSelected="1" workbookViewId="0">
      <selection activeCell="K35" sqref="K35"/>
    </sheetView>
  </sheetViews>
  <sheetFormatPr baseColWidth="10" defaultRowHeight="16"/>
  <sheetData>
    <row r="1" spans="1:20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/>
      <c r="H1" s="6"/>
      <c r="I1" s="7"/>
    </row>
    <row r="2" spans="1:20">
      <c r="A2" s="8"/>
      <c r="B2" s="8"/>
      <c r="C2" s="9"/>
      <c r="D2" s="10"/>
      <c r="E2" s="11"/>
      <c r="F2" s="12" t="s">
        <v>6</v>
      </c>
      <c r="G2" s="13" t="s">
        <v>7</v>
      </c>
      <c r="H2" s="14"/>
      <c r="I2" s="15" t="s">
        <v>8</v>
      </c>
    </row>
    <row r="3" spans="1:20" ht="30">
      <c r="A3" s="16"/>
      <c r="B3" s="16"/>
      <c r="C3" s="17"/>
      <c r="D3" s="18"/>
      <c r="E3" s="19"/>
      <c r="F3" s="20" t="s">
        <v>9</v>
      </c>
      <c r="G3" s="20" t="s">
        <v>10</v>
      </c>
      <c r="H3" s="20" t="s">
        <v>11</v>
      </c>
      <c r="I3" s="21"/>
      <c r="L3" s="22" t="s">
        <v>12</v>
      </c>
      <c r="M3" s="22" t="s">
        <v>13</v>
      </c>
      <c r="N3" s="22" t="s">
        <v>14</v>
      </c>
      <c r="O3" s="22" t="s">
        <v>15</v>
      </c>
      <c r="P3" s="22" t="s">
        <v>16</v>
      </c>
      <c r="Q3" s="22" t="s">
        <v>17</v>
      </c>
      <c r="T3" t="s">
        <v>18</v>
      </c>
    </row>
    <row r="4" spans="1:20">
      <c r="A4" s="23"/>
      <c r="B4" s="23"/>
      <c r="C4" s="24"/>
      <c r="D4" s="25"/>
      <c r="E4" s="26"/>
      <c r="F4" s="27"/>
      <c r="G4" s="27"/>
      <c r="H4" s="27"/>
      <c r="I4" s="28"/>
      <c r="L4" s="22">
        <v>0</v>
      </c>
      <c r="M4" s="29">
        <f>-C5</f>
        <v>-30000</v>
      </c>
      <c r="N4" s="22"/>
      <c r="O4" s="22"/>
      <c r="P4" s="22"/>
      <c r="Q4" s="29">
        <f>M4+N4+P4+O4</f>
        <v>-30000</v>
      </c>
      <c r="T4" s="30">
        <v>0.12</v>
      </c>
    </row>
    <row r="5" spans="1:20">
      <c r="A5" s="31">
        <f>[1]不提取累积情况!A4</f>
        <v>68</v>
      </c>
      <c r="B5" s="32">
        <v>1</v>
      </c>
      <c r="C5" s="33">
        <v>30000</v>
      </c>
      <c r="D5" s="34">
        <v>0</v>
      </c>
      <c r="E5" s="33">
        <v>306436</v>
      </c>
      <c r="F5" s="34">
        <v>31</v>
      </c>
      <c r="G5" s="34">
        <v>0</v>
      </c>
      <c r="H5" s="34">
        <v>0</v>
      </c>
      <c r="I5" s="34">
        <v>31</v>
      </c>
      <c r="L5" s="35">
        <f>B5</f>
        <v>1</v>
      </c>
      <c r="M5" s="29">
        <f>M4</f>
        <v>-30000</v>
      </c>
      <c r="N5" s="22"/>
      <c r="O5" s="22">
        <f>C5*T4</f>
        <v>3600</v>
      </c>
      <c r="P5" s="22"/>
      <c r="Q5" s="29">
        <f t="shared" ref="Q5:Q68" si="0">M5+N5+P5+O5</f>
        <v>-26400</v>
      </c>
    </row>
    <row r="6" spans="1:20">
      <c r="A6" s="31">
        <f>[1]不提取累积情况!A5</f>
        <v>69</v>
      </c>
      <c r="B6" s="31">
        <v>2</v>
      </c>
      <c r="C6" s="36">
        <v>60000</v>
      </c>
      <c r="D6" s="37">
        <v>0</v>
      </c>
      <c r="E6" s="36">
        <v>306436</v>
      </c>
      <c r="F6" s="37">
        <v>31</v>
      </c>
      <c r="G6" s="37">
        <v>0</v>
      </c>
      <c r="H6" s="37">
        <v>0</v>
      </c>
      <c r="I6" s="37">
        <v>31</v>
      </c>
      <c r="L6" s="35">
        <f>B6</f>
        <v>2</v>
      </c>
      <c r="M6" s="29">
        <f t="shared" ref="M6:M8" si="1">M5</f>
        <v>-30000</v>
      </c>
      <c r="N6" s="22"/>
      <c r="O6" s="22"/>
      <c r="P6" s="22"/>
      <c r="Q6" s="29">
        <f t="shared" si="0"/>
        <v>-30000</v>
      </c>
    </row>
    <row r="7" spans="1:20">
      <c r="A7" s="31">
        <f>[1]不提取累积情况!A6</f>
        <v>70</v>
      </c>
      <c r="B7" s="31">
        <v>3</v>
      </c>
      <c r="C7" s="36">
        <v>90000</v>
      </c>
      <c r="D7" s="37">
        <v>0</v>
      </c>
      <c r="E7" s="36">
        <v>306436</v>
      </c>
      <c r="F7" s="36">
        <v>7967</v>
      </c>
      <c r="G7" s="36">
        <v>2482</v>
      </c>
      <c r="H7" s="36">
        <v>4634</v>
      </c>
      <c r="I7" s="36">
        <v>15083</v>
      </c>
      <c r="L7" s="35">
        <f t="shared" ref="L7:L70" si="2">B7</f>
        <v>3</v>
      </c>
      <c r="M7" s="29">
        <f t="shared" si="1"/>
        <v>-30000</v>
      </c>
      <c r="N7" s="22"/>
      <c r="O7" s="22"/>
      <c r="P7" s="22"/>
      <c r="Q7" s="29">
        <f t="shared" si="0"/>
        <v>-30000</v>
      </c>
    </row>
    <row r="8" spans="1:20">
      <c r="A8" s="31">
        <f>[1]不提取累积情况!A7</f>
        <v>71</v>
      </c>
      <c r="B8" s="31">
        <v>4</v>
      </c>
      <c r="C8" s="36">
        <v>120000</v>
      </c>
      <c r="D8" s="37">
        <v>0</v>
      </c>
      <c r="E8" s="36">
        <v>306436</v>
      </c>
      <c r="F8" s="36">
        <v>22370</v>
      </c>
      <c r="G8" s="36">
        <v>5001</v>
      </c>
      <c r="H8" s="36">
        <v>10277</v>
      </c>
      <c r="I8" s="36">
        <v>37649</v>
      </c>
      <c r="L8" s="35">
        <f t="shared" si="2"/>
        <v>4</v>
      </c>
      <c r="M8" s="29">
        <f t="shared" si="1"/>
        <v>-30000</v>
      </c>
      <c r="N8" s="22"/>
      <c r="O8" s="22"/>
      <c r="P8" s="22"/>
      <c r="Q8" s="29">
        <f t="shared" si="0"/>
        <v>-30000</v>
      </c>
    </row>
    <row r="9" spans="1:20">
      <c r="A9" s="38">
        <f>[1]不提取累积情况!A8</f>
        <v>72</v>
      </c>
      <c r="B9" s="38">
        <v>5</v>
      </c>
      <c r="C9" s="39">
        <v>150000</v>
      </c>
      <c r="D9" s="40">
        <v>0</v>
      </c>
      <c r="E9" s="39">
        <v>306436</v>
      </c>
      <c r="F9" s="39">
        <v>42288</v>
      </c>
      <c r="G9" s="39">
        <v>7559</v>
      </c>
      <c r="H9" s="39">
        <v>20410</v>
      </c>
      <c r="I9" s="39">
        <v>70256</v>
      </c>
      <c r="L9" s="35">
        <f t="shared" si="2"/>
        <v>5</v>
      </c>
      <c r="M9" s="22"/>
      <c r="N9" s="22"/>
      <c r="O9" s="22"/>
      <c r="P9" s="22"/>
      <c r="Q9" s="29">
        <f t="shared" si="0"/>
        <v>0</v>
      </c>
    </row>
    <row r="10" spans="1:20">
      <c r="A10" s="31">
        <f>[1]不提取累积情况!A9</f>
        <v>73</v>
      </c>
      <c r="B10" s="32">
        <v>6</v>
      </c>
      <c r="C10" s="33">
        <v>150000</v>
      </c>
      <c r="D10" s="34">
        <v>0</v>
      </c>
      <c r="E10" s="33">
        <v>306436</v>
      </c>
      <c r="F10" s="33">
        <v>55771</v>
      </c>
      <c r="G10" s="33">
        <v>10154</v>
      </c>
      <c r="H10" s="33">
        <v>65534</v>
      </c>
      <c r="I10" s="33">
        <v>131460</v>
      </c>
      <c r="L10" s="35">
        <f t="shared" si="2"/>
        <v>6</v>
      </c>
      <c r="M10" s="22"/>
      <c r="N10" s="29">
        <f t="shared" ref="N10:N11" si="3">D10</f>
        <v>0</v>
      </c>
      <c r="O10" s="29"/>
      <c r="P10" s="22"/>
      <c r="Q10" s="29">
        <f t="shared" si="0"/>
        <v>0</v>
      </c>
    </row>
    <row r="11" spans="1:20">
      <c r="A11" s="31">
        <f>[1]不提取累积情况!A10</f>
        <v>74</v>
      </c>
      <c r="B11" s="31">
        <v>7</v>
      </c>
      <c r="C11" s="36">
        <v>150000</v>
      </c>
      <c r="D11" s="37">
        <v>0</v>
      </c>
      <c r="E11" s="36">
        <v>306436</v>
      </c>
      <c r="F11" s="36">
        <v>68948</v>
      </c>
      <c r="G11" s="36">
        <v>12789</v>
      </c>
      <c r="H11" s="36">
        <v>69272</v>
      </c>
      <c r="I11" s="36">
        <v>151008</v>
      </c>
      <c r="L11" s="35">
        <f t="shared" si="2"/>
        <v>7</v>
      </c>
      <c r="M11" s="22"/>
      <c r="N11" s="29">
        <f t="shared" si="3"/>
        <v>0</v>
      </c>
      <c r="O11" s="29"/>
      <c r="P11" s="22"/>
      <c r="Q11" s="29">
        <f t="shared" si="0"/>
        <v>0</v>
      </c>
    </row>
    <row r="12" spans="1:20">
      <c r="A12" s="31">
        <f>[1]不提取累积情况!A11</f>
        <v>75</v>
      </c>
      <c r="B12" s="31">
        <v>8</v>
      </c>
      <c r="C12" s="36">
        <v>150000</v>
      </c>
      <c r="D12" s="37">
        <v>0</v>
      </c>
      <c r="E12" s="36">
        <v>306436</v>
      </c>
      <c r="F12" s="36">
        <v>88866</v>
      </c>
      <c r="G12" s="36">
        <v>15463</v>
      </c>
      <c r="H12" s="36">
        <v>69852</v>
      </c>
      <c r="I12" s="36">
        <v>174181</v>
      </c>
      <c r="L12" s="35">
        <f t="shared" si="2"/>
        <v>8</v>
      </c>
      <c r="M12" s="22"/>
      <c r="N12" s="29">
        <f>D12</f>
        <v>0</v>
      </c>
      <c r="O12" s="29"/>
      <c r="P12" s="22"/>
      <c r="Q12" s="29">
        <f t="shared" si="0"/>
        <v>0</v>
      </c>
    </row>
    <row r="13" spans="1:20">
      <c r="A13" s="31">
        <f>[1]不提取累积情况!A12</f>
        <v>76</v>
      </c>
      <c r="B13" s="31">
        <v>9</v>
      </c>
      <c r="C13" s="36">
        <v>150000</v>
      </c>
      <c r="D13" s="37">
        <v>0</v>
      </c>
      <c r="E13" s="36">
        <v>306436</v>
      </c>
      <c r="F13" s="36">
        <v>91624</v>
      </c>
      <c r="G13" s="36">
        <v>18177</v>
      </c>
      <c r="H13" s="36">
        <v>76284</v>
      </c>
      <c r="I13" s="36">
        <v>186085</v>
      </c>
      <c r="L13" s="35">
        <f t="shared" si="2"/>
        <v>9</v>
      </c>
      <c r="M13" s="22"/>
      <c r="N13" s="29">
        <f t="shared" ref="N13:N76" si="4">D13</f>
        <v>0</v>
      </c>
      <c r="O13" s="29"/>
      <c r="P13" s="22"/>
      <c r="Q13" s="29">
        <f t="shared" si="0"/>
        <v>0</v>
      </c>
    </row>
    <row r="14" spans="1:20">
      <c r="A14" s="38">
        <f>[1]不提取累积情况!A13</f>
        <v>77</v>
      </c>
      <c r="B14" s="38">
        <v>10</v>
      </c>
      <c r="C14" s="39">
        <v>150000</v>
      </c>
      <c r="D14" s="39">
        <v>13500</v>
      </c>
      <c r="E14" s="39">
        <v>306436</v>
      </c>
      <c r="F14" s="39">
        <v>94076</v>
      </c>
      <c r="G14" s="39">
        <v>8013</v>
      </c>
      <c r="H14" s="39">
        <v>81128</v>
      </c>
      <c r="I14" s="39">
        <v>183217</v>
      </c>
      <c r="L14" s="35">
        <f t="shared" si="2"/>
        <v>10</v>
      </c>
      <c r="M14" s="22"/>
      <c r="N14" s="29">
        <f t="shared" si="4"/>
        <v>13500</v>
      </c>
      <c r="O14" s="29"/>
      <c r="P14" s="22"/>
      <c r="Q14" s="29">
        <f t="shared" si="0"/>
        <v>13500</v>
      </c>
    </row>
    <row r="15" spans="1:20">
      <c r="A15" s="31">
        <f>[1]不提取累积情况!A14</f>
        <v>78</v>
      </c>
      <c r="B15" s="32">
        <v>11</v>
      </c>
      <c r="C15" s="33">
        <v>147782</v>
      </c>
      <c r="D15" s="33">
        <v>13500</v>
      </c>
      <c r="E15" s="33">
        <v>301903</v>
      </c>
      <c r="F15" s="33">
        <v>95703</v>
      </c>
      <c r="G15" s="34">
        <v>0</v>
      </c>
      <c r="H15" s="33">
        <v>87552</v>
      </c>
      <c r="I15" s="33">
        <v>183255</v>
      </c>
      <c r="L15" s="35">
        <f t="shared" si="2"/>
        <v>11</v>
      </c>
      <c r="M15" s="22"/>
      <c r="N15" s="29">
        <f t="shared" si="4"/>
        <v>13500</v>
      </c>
      <c r="O15" s="29"/>
      <c r="P15" s="22"/>
      <c r="Q15" s="29">
        <f t="shared" si="0"/>
        <v>13500</v>
      </c>
    </row>
    <row r="16" spans="1:20">
      <c r="A16" s="31">
        <f>[1]不提取累积情况!A15</f>
        <v>79</v>
      </c>
      <c r="B16" s="31">
        <v>12</v>
      </c>
      <c r="C16" s="36">
        <v>137751</v>
      </c>
      <c r="D16" s="36">
        <v>13500</v>
      </c>
      <c r="E16" s="36">
        <v>281411</v>
      </c>
      <c r="F16" s="36">
        <v>91740</v>
      </c>
      <c r="G16" s="37">
        <v>0</v>
      </c>
      <c r="H16" s="36">
        <v>91459</v>
      </c>
      <c r="I16" s="36">
        <v>183199</v>
      </c>
      <c r="L16" s="35">
        <f t="shared" si="2"/>
        <v>12</v>
      </c>
      <c r="M16" s="22"/>
      <c r="N16" s="29">
        <f t="shared" si="4"/>
        <v>13500</v>
      </c>
      <c r="O16" s="29"/>
      <c r="P16" s="22"/>
      <c r="Q16" s="29">
        <f t="shared" si="0"/>
        <v>13500</v>
      </c>
    </row>
    <row r="17" spans="1:17">
      <c r="A17" s="31">
        <f>[1]不提取累积情况!A16</f>
        <v>80</v>
      </c>
      <c r="B17" s="31">
        <v>13</v>
      </c>
      <c r="C17" s="36">
        <v>128391</v>
      </c>
      <c r="D17" s="36">
        <v>13500</v>
      </c>
      <c r="E17" s="36">
        <v>262290</v>
      </c>
      <c r="F17" s="36">
        <v>88129</v>
      </c>
      <c r="G17" s="37">
        <v>0</v>
      </c>
      <c r="H17" s="36">
        <v>94949</v>
      </c>
      <c r="I17" s="36">
        <v>183078</v>
      </c>
      <c r="L17" s="35">
        <f t="shared" si="2"/>
        <v>13</v>
      </c>
      <c r="M17" s="22"/>
      <c r="N17" s="29">
        <f t="shared" si="4"/>
        <v>13500</v>
      </c>
      <c r="O17" s="29"/>
      <c r="P17" s="22"/>
      <c r="Q17" s="29">
        <f t="shared" si="0"/>
        <v>13500</v>
      </c>
    </row>
    <row r="18" spans="1:17">
      <c r="A18" s="31">
        <f>[1]不提取累积情况!A17</f>
        <v>81</v>
      </c>
      <c r="B18" s="31">
        <v>14</v>
      </c>
      <c r="C18" s="36">
        <v>120043</v>
      </c>
      <c r="D18" s="36">
        <v>13500</v>
      </c>
      <c r="E18" s="36">
        <v>244486</v>
      </c>
      <c r="F18" s="36">
        <v>84592</v>
      </c>
      <c r="G18" s="37">
        <v>0</v>
      </c>
      <c r="H18" s="36">
        <v>98773</v>
      </c>
      <c r="I18" s="36">
        <v>183365</v>
      </c>
      <c r="L18" s="35">
        <f t="shared" si="2"/>
        <v>14</v>
      </c>
      <c r="M18" s="22"/>
      <c r="N18" s="29">
        <f t="shared" si="4"/>
        <v>13500</v>
      </c>
      <c r="O18" s="29"/>
      <c r="P18" s="22"/>
      <c r="Q18" s="29">
        <f t="shared" si="0"/>
        <v>13500</v>
      </c>
    </row>
    <row r="19" spans="1:17">
      <c r="A19" s="38">
        <f>[1]不提取累积情况!A18</f>
        <v>82</v>
      </c>
      <c r="B19" s="38">
        <v>15</v>
      </c>
      <c r="C19" s="39">
        <v>111895</v>
      </c>
      <c r="D19" s="39">
        <v>13500</v>
      </c>
      <c r="E19" s="39">
        <v>227892</v>
      </c>
      <c r="F19" s="39">
        <v>81130</v>
      </c>
      <c r="G19" s="40">
        <v>0</v>
      </c>
      <c r="H19" s="39">
        <v>102324</v>
      </c>
      <c r="I19" s="39">
        <v>183453</v>
      </c>
      <c r="L19" s="35">
        <f t="shared" si="2"/>
        <v>15</v>
      </c>
      <c r="M19" s="22"/>
      <c r="N19" s="29">
        <f t="shared" si="4"/>
        <v>13500</v>
      </c>
      <c r="O19" s="29"/>
      <c r="P19" s="22"/>
      <c r="Q19" s="29">
        <f t="shared" si="0"/>
        <v>13500</v>
      </c>
    </row>
    <row r="20" spans="1:17">
      <c r="A20" s="31">
        <f>[1]不提取累积情况!A19</f>
        <v>83</v>
      </c>
      <c r="B20" s="32">
        <v>16</v>
      </c>
      <c r="C20" s="33">
        <v>104335</v>
      </c>
      <c r="D20" s="33">
        <v>13500</v>
      </c>
      <c r="E20" s="33">
        <v>212496</v>
      </c>
      <c r="F20" s="33">
        <v>80748</v>
      </c>
      <c r="G20" s="34">
        <v>0</v>
      </c>
      <c r="H20" s="33">
        <v>103698</v>
      </c>
      <c r="I20" s="33">
        <v>184446</v>
      </c>
      <c r="L20" s="35">
        <f t="shared" si="2"/>
        <v>16</v>
      </c>
      <c r="M20" s="22"/>
      <c r="N20" s="29">
        <f t="shared" si="4"/>
        <v>13500</v>
      </c>
      <c r="O20" s="29"/>
      <c r="P20" s="22"/>
      <c r="Q20" s="29">
        <f t="shared" si="0"/>
        <v>13500</v>
      </c>
    </row>
    <row r="21" spans="1:17">
      <c r="A21" s="31">
        <f>[1]不提取累积情况!A20</f>
        <v>84</v>
      </c>
      <c r="B21" s="31">
        <v>17</v>
      </c>
      <c r="C21" s="36">
        <v>97322</v>
      </c>
      <c r="D21" s="36">
        <v>13500</v>
      </c>
      <c r="E21" s="36">
        <v>198212</v>
      </c>
      <c r="F21" s="36">
        <v>80276</v>
      </c>
      <c r="G21" s="37">
        <v>0</v>
      </c>
      <c r="H21" s="36">
        <v>105250</v>
      </c>
      <c r="I21" s="36">
        <v>185526</v>
      </c>
      <c r="L21" s="35">
        <f t="shared" si="2"/>
        <v>17</v>
      </c>
      <c r="M21" s="22"/>
      <c r="N21" s="29">
        <f t="shared" si="4"/>
        <v>13500</v>
      </c>
      <c r="O21" s="29"/>
      <c r="P21" s="22"/>
      <c r="Q21" s="29">
        <f t="shared" si="0"/>
        <v>13500</v>
      </c>
    </row>
    <row r="22" spans="1:17">
      <c r="A22" s="31">
        <f>[1]不提取累积情况!A21</f>
        <v>85</v>
      </c>
      <c r="B22" s="31">
        <v>18</v>
      </c>
      <c r="C22" s="36">
        <v>90888</v>
      </c>
      <c r="D22" s="36">
        <v>13500</v>
      </c>
      <c r="E22" s="36">
        <v>185108</v>
      </c>
      <c r="F22" s="36">
        <v>90518</v>
      </c>
      <c r="G22" s="37">
        <v>0</v>
      </c>
      <c r="H22" s="36">
        <v>98478</v>
      </c>
      <c r="I22" s="36">
        <v>188995</v>
      </c>
      <c r="L22" s="35">
        <f t="shared" si="2"/>
        <v>18</v>
      </c>
      <c r="M22" s="22"/>
      <c r="N22" s="29">
        <f t="shared" si="4"/>
        <v>13500</v>
      </c>
      <c r="O22" s="29"/>
      <c r="P22" s="22"/>
      <c r="Q22" s="29">
        <f t="shared" si="0"/>
        <v>13500</v>
      </c>
    </row>
    <row r="23" spans="1:17">
      <c r="A23" s="31">
        <f>[1]不提取累积情况!A22</f>
        <v>86</v>
      </c>
      <c r="B23" s="31">
        <v>19</v>
      </c>
      <c r="C23" s="36">
        <v>84921</v>
      </c>
      <c r="D23" s="36">
        <v>13500</v>
      </c>
      <c r="E23" s="36">
        <v>172955</v>
      </c>
      <c r="F23" s="36">
        <v>85267</v>
      </c>
      <c r="G23" s="37">
        <v>0</v>
      </c>
      <c r="H23" s="36">
        <v>105156</v>
      </c>
      <c r="I23" s="36">
        <v>190423</v>
      </c>
      <c r="L23" s="35">
        <f t="shared" si="2"/>
        <v>19</v>
      </c>
      <c r="M23" s="22"/>
      <c r="N23" s="29">
        <f t="shared" si="4"/>
        <v>13500</v>
      </c>
      <c r="O23" s="29"/>
      <c r="P23" s="22"/>
      <c r="Q23" s="29">
        <f t="shared" si="0"/>
        <v>13500</v>
      </c>
    </row>
    <row r="24" spans="1:17">
      <c r="A24" s="38">
        <f>[1]不提取累积情况!A23</f>
        <v>87</v>
      </c>
      <c r="B24" s="38">
        <v>20</v>
      </c>
      <c r="C24" s="39">
        <v>79361</v>
      </c>
      <c r="D24" s="39">
        <v>13500</v>
      </c>
      <c r="E24" s="39">
        <v>161632</v>
      </c>
      <c r="F24" s="39">
        <v>79846</v>
      </c>
      <c r="G24" s="40">
        <v>0</v>
      </c>
      <c r="H24" s="39">
        <v>111203</v>
      </c>
      <c r="I24" s="39">
        <v>191049</v>
      </c>
      <c r="L24" s="35">
        <f t="shared" si="2"/>
        <v>20</v>
      </c>
      <c r="M24" s="22"/>
      <c r="N24" s="29">
        <f t="shared" si="4"/>
        <v>13500</v>
      </c>
      <c r="O24" s="29"/>
      <c r="P24" s="22"/>
      <c r="Q24" s="29">
        <f t="shared" si="0"/>
        <v>13500</v>
      </c>
    </row>
    <row r="25" spans="1:17">
      <c r="A25" s="31">
        <f>[1]不提取累积情况!A24</f>
        <v>88</v>
      </c>
      <c r="B25" s="32">
        <v>21</v>
      </c>
      <c r="C25" s="33">
        <v>74275</v>
      </c>
      <c r="D25" s="33">
        <v>13500</v>
      </c>
      <c r="E25" s="33">
        <v>151273</v>
      </c>
      <c r="F25" s="33">
        <v>74880</v>
      </c>
      <c r="G25" s="34">
        <v>0</v>
      </c>
      <c r="H25" s="33">
        <v>120565</v>
      </c>
      <c r="I25" s="33">
        <v>195445</v>
      </c>
      <c r="L25" s="35">
        <f t="shared" si="2"/>
        <v>21</v>
      </c>
      <c r="M25" s="22"/>
      <c r="N25" s="29">
        <f t="shared" si="4"/>
        <v>13500</v>
      </c>
      <c r="O25" s="29"/>
      <c r="P25" s="22"/>
      <c r="Q25" s="29">
        <f t="shared" si="0"/>
        <v>13500</v>
      </c>
    </row>
    <row r="26" spans="1:17">
      <c r="A26" s="31">
        <f>[1]不提取累积情况!A25</f>
        <v>89</v>
      </c>
      <c r="B26" s="31">
        <v>22</v>
      </c>
      <c r="C26" s="36">
        <v>69820</v>
      </c>
      <c r="D26" s="36">
        <v>13500</v>
      </c>
      <c r="E26" s="36">
        <v>141767</v>
      </c>
      <c r="F26" s="36">
        <v>70317</v>
      </c>
      <c r="G26" s="37">
        <v>0</v>
      </c>
      <c r="H26" s="36">
        <v>129292</v>
      </c>
      <c r="I26" s="36">
        <v>199608</v>
      </c>
      <c r="L26" s="35">
        <f t="shared" si="2"/>
        <v>22</v>
      </c>
      <c r="M26" s="22"/>
      <c r="N26" s="29">
        <f t="shared" si="4"/>
        <v>13500</v>
      </c>
      <c r="O26" s="29"/>
      <c r="P26" s="22"/>
      <c r="Q26" s="29">
        <f t="shared" si="0"/>
        <v>13500</v>
      </c>
    </row>
    <row r="27" spans="1:17">
      <c r="A27" s="31">
        <f>[1]不提取累积情况!A26</f>
        <v>90</v>
      </c>
      <c r="B27" s="31">
        <v>23</v>
      </c>
      <c r="C27" s="36">
        <v>65532</v>
      </c>
      <c r="D27" s="36">
        <v>13500</v>
      </c>
      <c r="E27" s="36">
        <v>133059</v>
      </c>
      <c r="F27" s="36">
        <v>66130</v>
      </c>
      <c r="G27" s="37">
        <v>0</v>
      </c>
      <c r="H27" s="36">
        <v>138382</v>
      </c>
      <c r="I27" s="36">
        <v>204512</v>
      </c>
      <c r="L27" s="35">
        <f t="shared" si="2"/>
        <v>23</v>
      </c>
      <c r="M27" s="22"/>
      <c r="N27" s="29">
        <f t="shared" si="4"/>
        <v>13500</v>
      </c>
      <c r="O27" s="29"/>
      <c r="P27" s="22"/>
      <c r="Q27" s="29">
        <f t="shared" si="0"/>
        <v>13500</v>
      </c>
    </row>
    <row r="28" spans="1:17">
      <c r="A28" s="31">
        <f>[1]不提取累积情况!A27</f>
        <v>91</v>
      </c>
      <c r="B28" s="31">
        <v>24</v>
      </c>
      <c r="C28" s="36">
        <v>61556</v>
      </c>
      <c r="D28" s="36">
        <v>13500</v>
      </c>
      <c r="E28" s="36">
        <v>124986</v>
      </c>
      <c r="F28" s="36">
        <v>62243</v>
      </c>
      <c r="G28" s="37">
        <v>0</v>
      </c>
      <c r="H28" s="36">
        <v>144984</v>
      </c>
      <c r="I28" s="36">
        <v>207227</v>
      </c>
      <c r="L28" s="35">
        <f t="shared" si="2"/>
        <v>24</v>
      </c>
      <c r="M28" s="22"/>
      <c r="N28" s="29">
        <f t="shared" si="4"/>
        <v>13500</v>
      </c>
      <c r="O28" s="29"/>
      <c r="P28" s="22"/>
      <c r="Q28" s="29">
        <f t="shared" si="0"/>
        <v>13500</v>
      </c>
    </row>
    <row r="29" spans="1:17">
      <c r="A29" s="38">
        <f>[1]不提取累积情况!A28</f>
        <v>92</v>
      </c>
      <c r="B29" s="38">
        <v>25</v>
      </c>
      <c r="C29" s="39">
        <v>57871</v>
      </c>
      <c r="D29" s="39">
        <v>13500</v>
      </c>
      <c r="E29" s="39">
        <v>117504</v>
      </c>
      <c r="F29" s="39">
        <v>58635</v>
      </c>
      <c r="G29" s="40">
        <v>0</v>
      </c>
      <c r="H29" s="39">
        <v>151580</v>
      </c>
      <c r="I29" s="39">
        <v>210215</v>
      </c>
      <c r="L29" s="35">
        <f t="shared" si="2"/>
        <v>25</v>
      </c>
      <c r="M29" s="22"/>
      <c r="N29" s="29">
        <f t="shared" si="4"/>
        <v>13500</v>
      </c>
      <c r="O29" s="29"/>
      <c r="P29" s="22"/>
      <c r="Q29" s="29">
        <f t="shared" si="0"/>
        <v>13500</v>
      </c>
    </row>
    <row r="30" spans="1:17">
      <c r="A30" s="31">
        <f>[1]不提取累积情况!A29</f>
        <v>93</v>
      </c>
      <c r="B30" s="32">
        <v>26</v>
      </c>
      <c r="C30" s="33">
        <v>54453</v>
      </c>
      <c r="D30" s="33">
        <v>13500</v>
      </c>
      <c r="E30" s="33">
        <v>110565</v>
      </c>
      <c r="F30" s="33">
        <v>55282</v>
      </c>
      <c r="G30" s="34">
        <v>0</v>
      </c>
      <c r="H30" s="33">
        <v>157997</v>
      </c>
      <c r="I30" s="33">
        <v>213280</v>
      </c>
      <c r="L30" s="35">
        <f t="shared" si="2"/>
        <v>26</v>
      </c>
      <c r="M30" s="22"/>
      <c r="N30" s="29">
        <f t="shared" si="4"/>
        <v>13500</v>
      </c>
      <c r="O30" s="29"/>
      <c r="P30" s="22"/>
      <c r="Q30" s="29">
        <f t="shared" si="0"/>
        <v>13500</v>
      </c>
    </row>
    <row r="31" spans="1:17">
      <c r="A31" s="31">
        <f>[1]不提取累积情况!A30</f>
        <v>94</v>
      </c>
      <c r="B31" s="31">
        <v>27</v>
      </c>
      <c r="C31" s="36">
        <v>51279</v>
      </c>
      <c r="D31" s="36">
        <v>13500</v>
      </c>
      <c r="E31" s="36">
        <v>104120</v>
      </c>
      <c r="F31" s="36">
        <v>52164</v>
      </c>
      <c r="G31" s="37">
        <v>0</v>
      </c>
      <c r="H31" s="36">
        <v>164093</v>
      </c>
      <c r="I31" s="36">
        <v>216257</v>
      </c>
      <c r="L31" s="35">
        <f t="shared" si="2"/>
        <v>27</v>
      </c>
      <c r="M31" s="22"/>
      <c r="N31" s="29">
        <f t="shared" si="4"/>
        <v>13500</v>
      </c>
      <c r="O31" s="29"/>
      <c r="P31" s="22"/>
      <c r="Q31" s="29">
        <f t="shared" si="0"/>
        <v>13500</v>
      </c>
    </row>
    <row r="32" spans="1:17">
      <c r="A32" s="31">
        <f>[1]不提取累积情况!A31</f>
        <v>95</v>
      </c>
      <c r="B32" s="31">
        <v>28</v>
      </c>
      <c r="C32" s="36">
        <v>48305</v>
      </c>
      <c r="D32" s="36">
        <v>13500</v>
      </c>
      <c r="E32" s="36">
        <v>98082</v>
      </c>
      <c r="F32" s="36">
        <v>49237</v>
      </c>
      <c r="G32" s="37">
        <v>0</v>
      </c>
      <c r="H32" s="36">
        <v>168210</v>
      </c>
      <c r="I32" s="36">
        <v>217447</v>
      </c>
      <c r="L32" s="35">
        <f t="shared" si="2"/>
        <v>28</v>
      </c>
      <c r="M32" s="22"/>
      <c r="N32" s="29">
        <f t="shared" si="4"/>
        <v>13500</v>
      </c>
      <c r="O32" s="29"/>
      <c r="P32" s="22"/>
      <c r="Q32" s="29">
        <f t="shared" si="0"/>
        <v>13500</v>
      </c>
    </row>
    <row r="33" spans="1:17">
      <c r="A33" s="31">
        <f>[1]不提取累积情况!A32</f>
        <v>96</v>
      </c>
      <c r="B33" s="31">
        <v>29</v>
      </c>
      <c r="C33" s="36">
        <v>45513</v>
      </c>
      <c r="D33" s="36">
        <v>13500</v>
      </c>
      <c r="E33" s="36">
        <v>92411</v>
      </c>
      <c r="F33" s="36">
        <v>46483</v>
      </c>
      <c r="G33" s="37">
        <v>0</v>
      </c>
      <c r="H33" s="36">
        <v>171700</v>
      </c>
      <c r="I33" s="36">
        <v>218183</v>
      </c>
      <c r="L33" s="35">
        <f t="shared" si="2"/>
        <v>29</v>
      </c>
      <c r="M33" s="22"/>
      <c r="N33" s="29">
        <f t="shared" si="4"/>
        <v>13500</v>
      </c>
      <c r="O33" s="29"/>
      <c r="P33" s="22"/>
      <c r="Q33" s="29">
        <f t="shared" si="0"/>
        <v>13500</v>
      </c>
    </row>
    <row r="34" spans="1:17">
      <c r="A34" s="31">
        <f>[1]不提取累积情况!A33</f>
        <v>97</v>
      </c>
      <c r="B34" s="38">
        <v>30</v>
      </c>
      <c r="C34" s="39">
        <v>42936</v>
      </c>
      <c r="D34" s="39">
        <v>13500</v>
      </c>
      <c r="E34" s="39">
        <v>87180</v>
      </c>
      <c r="F34" s="39">
        <v>43939</v>
      </c>
      <c r="G34" s="40">
        <v>0</v>
      </c>
      <c r="H34" s="39">
        <v>179155</v>
      </c>
      <c r="I34" s="39">
        <v>223093</v>
      </c>
      <c r="L34" s="35">
        <f t="shared" si="2"/>
        <v>30</v>
      </c>
      <c r="M34" s="22"/>
      <c r="N34" s="29">
        <f t="shared" si="4"/>
        <v>13500</v>
      </c>
      <c r="O34" s="29"/>
      <c r="P34" s="22"/>
      <c r="Q34" s="29">
        <f t="shared" si="0"/>
        <v>13500</v>
      </c>
    </row>
    <row r="35" spans="1:17">
      <c r="A35" s="31">
        <f>[1]不提取累积情况!A34</f>
        <v>98</v>
      </c>
      <c r="B35" s="32">
        <v>31</v>
      </c>
      <c r="C35" s="33">
        <v>40512</v>
      </c>
      <c r="D35" s="33">
        <v>13500</v>
      </c>
      <c r="E35" s="33">
        <v>82258</v>
      </c>
      <c r="F35" s="33">
        <v>41540</v>
      </c>
      <c r="G35" s="34">
        <v>0</v>
      </c>
      <c r="H35" s="33">
        <v>182201</v>
      </c>
      <c r="I35" s="33">
        <v>223741</v>
      </c>
      <c r="L35" s="35">
        <f t="shared" si="2"/>
        <v>31</v>
      </c>
      <c r="M35" s="22"/>
      <c r="N35" s="29">
        <f t="shared" si="4"/>
        <v>13500</v>
      </c>
      <c r="O35" s="29"/>
      <c r="P35" s="22"/>
      <c r="Q35" s="29">
        <f t="shared" si="0"/>
        <v>13500</v>
      </c>
    </row>
    <row r="36" spans="1:17">
      <c r="A36" s="31">
        <f>[1]不提取累积情况!A35</f>
        <v>99</v>
      </c>
      <c r="B36" s="31">
        <v>32</v>
      </c>
      <c r="C36" s="36">
        <v>38230</v>
      </c>
      <c r="D36" s="36">
        <v>13500</v>
      </c>
      <c r="E36" s="36">
        <v>77625</v>
      </c>
      <c r="F36" s="36">
        <v>39278</v>
      </c>
      <c r="G36" s="37">
        <v>0</v>
      </c>
      <c r="H36" s="36">
        <v>185058</v>
      </c>
      <c r="I36" s="36">
        <v>224336</v>
      </c>
      <c r="L36" s="35">
        <f t="shared" si="2"/>
        <v>32</v>
      </c>
      <c r="M36" s="22"/>
      <c r="N36" s="29">
        <f t="shared" si="4"/>
        <v>13500</v>
      </c>
      <c r="O36" s="29"/>
      <c r="P36" s="22"/>
      <c r="Q36" s="29">
        <f t="shared" si="0"/>
        <v>13500</v>
      </c>
    </row>
    <row r="37" spans="1:17">
      <c r="A37" s="31">
        <f>[1]不提取累积情况!A36</f>
        <v>100</v>
      </c>
      <c r="B37" s="31">
        <v>33</v>
      </c>
      <c r="C37" s="36">
        <v>36268</v>
      </c>
      <c r="D37" s="36">
        <v>13500</v>
      </c>
      <c r="E37" s="36">
        <v>73268</v>
      </c>
      <c r="F37" s="36">
        <v>37293</v>
      </c>
      <c r="G37" s="37">
        <v>0</v>
      </c>
      <c r="H37" s="36">
        <v>187859</v>
      </c>
      <c r="I37" s="36">
        <v>225153</v>
      </c>
      <c r="L37" s="35">
        <f t="shared" si="2"/>
        <v>33</v>
      </c>
      <c r="M37" s="22"/>
      <c r="N37" s="29">
        <f t="shared" si="4"/>
        <v>13500</v>
      </c>
      <c r="O37" s="29"/>
      <c r="P37" s="22"/>
      <c r="Q37" s="29">
        <f t="shared" si="0"/>
        <v>13500</v>
      </c>
    </row>
    <row r="38" spans="1:17">
      <c r="A38" s="32"/>
      <c r="B38" s="31">
        <v>34</v>
      </c>
      <c r="C38" s="36">
        <v>34239</v>
      </c>
      <c r="D38" s="36">
        <v>13500</v>
      </c>
      <c r="E38" s="36">
        <v>69169</v>
      </c>
      <c r="F38" s="36">
        <v>35415</v>
      </c>
      <c r="G38" s="37">
        <v>0</v>
      </c>
      <c r="H38" s="36">
        <v>190562</v>
      </c>
      <c r="I38" s="36">
        <v>225977</v>
      </c>
      <c r="L38" s="35">
        <f t="shared" si="2"/>
        <v>34</v>
      </c>
      <c r="M38" s="22"/>
      <c r="N38" s="29">
        <f t="shared" si="4"/>
        <v>13500</v>
      </c>
      <c r="O38" s="29"/>
      <c r="P38" s="22"/>
      <c r="Q38" s="29">
        <f t="shared" si="0"/>
        <v>13500</v>
      </c>
    </row>
    <row r="39" spans="1:17">
      <c r="A39" s="32"/>
      <c r="B39" s="38">
        <v>35</v>
      </c>
      <c r="C39" s="39">
        <v>32330</v>
      </c>
      <c r="D39" s="39">
        <v>13500</v>
      </c>
      <c r="E39" s="39">
        <v>65314</v>
      </c>
      <c r="F39" s="39">
        <v>33637</v>
      </c>
      <c r="G39" s="40">
        <v>0</v>
      </c>
      <c r="H39" s="39">
        <v>193198</v>
      </c>
      <c r="I39" s="39">
        <v>226835</v>
      </c>
      <c r="L39" s="35">
        <f t="shared" si="2"/>
        <v>35</v>
      </c>
      <c r="M39" s="22"/>
      <c r="N39" s="29">
        <f t="shared" si="4"/>
        <v>13500</v>
      </c>
      <c r="O39" s="29"/>
      <c r="P39" s="22"/>
      <c r="Q39" s="29">
        <f t="shared" si="0"/>
        <v>13500</v>
      </c>
    </row>
    <row r="40" spans="1:17">
      <c r="A40" s="32"/>
      <c r="B40" s="32">
        <v>36</v>
      </c>
      <c r="C40" s="33">
        <v>30535</v>
      </c>
      <c r="D40" s="33">
        <v>13500</v>
      </c>
      <c r="E40" s="33">
        <v>61687</v>
      </c>
      <c r="F40" s="33">
        <v>31892</v>
      </c>
      <c r="G40" s="34">
        <v>0</v>
      </c>
      <c r="H40" s="33">
        <v>195856</v>
      </c>
      <c r="I40" s="33">
        <v>227748</v>
      </c>
      <c r="L40" s="35">
        <f t="shared" si="2"/>
        <v>36</v>
      </c>
      <c r="M40" s="22"/>
      <c r="N40" s="29">
        <f t="shared" si="4"/>
        <v>13500</v>
      </c>
      <c r="O40" s="29"/>
      <c r="P40" s="22"/>
      <c r="Q40" s="29">
        <f t="shared" si="0"/>
        <v>13500</v>
      </c>
    </row>
    <row r="41" spans="1:17">
      <c r="A41" s="32"/>
      <c r="B41" s="31">
        <v>37</v>
      </c>
      <c r="C41" s="36">
        <v>28846</v>
      </c>
      <c r="D41" s="36">
        <v>13500</v>
      </c>
      <c r="E41" s="36">
        <v>58274</v>
      </c>
      <c r="F41" s="36">
        <v>30361</v>
      </c>
      <c r="G41" s="37">
        <v>0</v>
      </c>
      <c r="H41" s="36">
        <v>198307</v>
      </c>
      <c r="I41" s="36">
        <v>228668</v>
      </c>
      <c r="L41" s="35">
        <f t="shared" si="2"/>
        <v>37</v>
      </c>
      <c r="M41" s="22"/>
      <c r="N41" s="29">
        <f t="shared" si="4"/>
        <v>13500</v>
      </c>
      <c r="O41" s="29"/>
      <c r="P41" s="22"/>
      <c r="Q41" s="29">
        <f t="shared" si="0"/>
        <v>13500</v>
      </c>
    </row>
    <row r="42" spans="1:17">
      <c r="A42" s="32"/>
      <c r="B42" s="31">
        <v>38</v>
      </c>
      <c r="C42" s="36">
        <v>27256</v>
      </c>
      <c r="D42" s="36">
        <v>13500</v>
      </c>
      <c r="E42" s="36">
        <v>55063</v>
      </c>
      <c r="F42" s="36">
        <v>28908</v>
      </c>
      <c r="G42" s="37">
        <v>0</v>
      </c>
      <c r="H42" s="36">
        <v>200761</v>
      </c>
      <c r="I42" s="36">
        <v>229670</v>
      </c>
      <c r="L42" s="35">
        <f t="shared" si="2"/>
        <v>38</v>
      </c>
      <c r="M42" s="22"/>
      <c r="N42" s="29">
        <f t="shared" si="4"/>
        <v>13500</v>
      </c>
      <c r="O42" s="29"/>
      <c r="P42" s="22"/>
      <c r="Q42" s="29">
        <f t="shared" si="0"/>
        <v>13500</v>
      </c>
    </row>
    <row r="43" spans="1:17">
      <c r="A43" s="32"/>
      <c r="B43" s="31">
        <v>39</v>
      </c>
      <c r="C43" s="36">
        <v>25761</v>
      </c>
      <c r="D43" s="36">
        <v>13500</v>
      </c>
      <c r="E43" s="36">
        <v>52042</v>
      </c>
      <c r="F43" s="36">
        <v>27426</v>
      </c>
      <c r="G43" s="37">
        <v>0</v>
      </c>
      <c r="H43" s="36">
        <v>203223</v>
      </c>
      <c r="I43" s="36">
        <v>230649</v>
      </c>
      <c r="L43" s="35">
        <f t="shared" si="2"/>
        <v>39</v>
      </c>
      <c r="M43" s="22"/>
      <c r="N43" s="29">
        <f t="shared" si="4"/>
        <v>13500</v>
      </c>
      <c r="O43" s="29"/>
      <c r="P43" s="22"/>
      <c r="Q43" s="29">
        <f t="shared" si="0"/>
        <v>13500</v>
      </c>
    </row>
    <row r="44" spans="1:17">
      <c r="A44" s="32"/>
      <c r="B44" s="38">
        <v>40</v>
      </c>
      <c r="C44" s="39">
        <v>24468</v>
      </c>
      <c r="D44" s="39">
        <v>13500</v>
      </c>
      <c r="E44" s="39">
        <v>49429</v>
      </c>
      <c r="F44" s="39">
        <v>26287</v>
      </c>
      <c r="G44" s="40">
        <v>0</v>
      </c>
      <c r="H44" s="39">
        <v>206219</v>
      </c>
      <c r="I44" s="39">
        <v>232506</v>
      </c>
      <c r="L44" s="35">
        <f t="shared" si="2"/>
        <v>40</v>
      </c>
      <c r="M44" s="22"/>
      <c r="N44" s="29">
        <f t="shared" si="4"/>
        <v>13500</v>
      </c>
      <c r="O44" s="29"/>
      <c r="P44" s="22"/>
      <c r="Q44" s="29">
        <f t="shared" si="0"/>
        <v>13500</v>
      </c>
    </row>
    <row r="45" spans="1:17">
      <c r="A45" s="32"/>
      <c r="B45" s="32">
        <v>41</v>
      </c>
      <c r="C45" s="33">
        <v>23249</v>
      </c>
      <c r="D45" s="33">
        <v>13500</v>
      </c>
      <c r="E45" s="33">
        <v>46968</v>
      </c>
      <c r="F45" s="33">
        <v>25039</v>
      </c>
      <c r="G45" s="34">
        <v>0</v>
      </c>
      <c r="H45" s="33">
        <v>209382</v>
      </c>
      <c r="I45" s="33">
        <v>234421</v>
      </c>
      <c r="L45" s="35">
        <f t="shared" si="2"/>
        <v>41</v>
      </c>
      <c r="M45" s="22"/>
      <c r="N45" s="29">
        <f t="shared" si="4"/>
        <v>13500</v>
      </c>
      <c r="O45" s="29"/>
      <c r="P45" s="22"/>
      <c r="Q45" s="29">
        <f t="shared" si="0"/>
        <v>13500</v>
      </c>
    </row>
    <row r="46" spans="1:17">
      <c r="A46" s="32"/>
      <c r="B46" s="31">
        <v>42</v>
      </c>
      <c r="C46" s="36">
        <v>22101</v>
      </c>
      <c r="D46" s="36">
        <v>13500</v>
      </c>
      <c r="E46" s="36">
        <v>44649</v>
      </c>
      <c r="F46" s="36">
        <v>23861</v>
      </c>
      <c r="G46" s="37">
        <v>0</v>
      </c>
      <c r="H46" s="36">
        <v>212664</v>
      </c>
      <c r="I46" s="36">
        <v>236525</v>
      </c>
      <c r="L46" s="35">
        <f t="shared" si="2"/>
        <v>42</v>
      </c>
      <c r="M46" s="22"/>
      <c r="N46" s="29">
        <f t="shared" si="4"/>
        <v>13500</v>
      </c>
      <c r="O46" s="29"/>
      <c r="P46" s="22"/>
      <c r="Q46" s="29">
        <f t="shared" si="0"/>
        <v>13500</v>
      </c>
    </row>
    <row r="47" spans="1:17">
      <c r="A47" s="32"/>
      <c r="B47" s="31">
        <v>43</v>
      </c>
      <c r="C47" s="36">
        <v>21020</v>
      </c>
      <c r="D47" s="36">
        <v>13500</v>
      </c>
      <c r="E47" s="36">
        <v>42465</v>
      </c>
      <c r="F47" s="36">
        <v>22748</v>
      </c>
      <c r="G47" s="37">
        <v>0</v>
      </c>
      <c r="H47" s="36">
        <v>215934</v>
      </c>
      <c r="I47" s="36">
        <v>238683</v>
      </c>
      <c r="L47" s="35">
        <f t="shared" si="2"/>
        <v>43</v>
      </c>
      <c r="M47" s="22"/>
      <c r="N47" s="29">
        <f t="shared" si="4"/>
        <v>13500</v>
      </c>
      <c r="O47" s="29"/>
      <c r="P47" s="22"/>
      <c r="Q47" s="29">
        <f t="shared" si="0"/>
        <v>13500</v>
      </c>
    </row>
    <row r="48" spans="1:17">
      <c r="A48" s="32"/>
      <c r="B48" s="31">
        <v>44</v>
      </c>
      <c r="C48" s="36">
        <v>20002</v>
      </c>
      <c r="D48" s="36">
        <v>13500</v>
      </c>
      <c r="E48" s="36">
        <v>40408</v>
      </c>
      <c r="F48" s="36">
        <v>21699</v>
      </c>
      <c r="G48" s="37">
        <v>0</v>
      </c>
      <c r="H48" s="36">
        <v>219333</v>
      </c>
      <c r="I48" s="36">
        <v>241032</v>
      </c>
      <c r="L48" s="35">
        <f t="shared" si="2"/>
        <v>44</v>
      </c>
      <c r="M48" s="22"/>
      <c r="N48" s="29">
        <f t="shared" si="4"/>
        <v>13500</v>
      </c>
      <c r="O48" s="29"/>
      <c r="P48" s="22"/>
      <c r="Q48" s="29">
        <f t="shared" si="0"/>
        <v>13500</v>
      </c>
    </row>
    <row r="49" spans="1:17">
      <c r="A49" s="32"/>
      <c r="B49" s="38">
        <v>45</v>
      </c>
      <c r="C49" s="39">
        <v>19043</v>
      </c>
      <c r="D49" s="39">
        <v>13500</v>
      </c>
      <c r="E49" s="39">
        <v>38470</v>
      </c>
      <c r="F49" s="39">
        <v>20708</v>
      </c>
      <c r="G49" s="40">
        <v>0</v>
      </c>
      <c r="H49" s="39">
        <v>222819</v>
      </c>
      <c r="I49" s="39">
        <v>243528</v>
      </c>
      <c r="L49" s="35">
        <f t="shared" si="2"/>
        <v>45</v>
      </c>
      <c r="M49" s="22"/>
      <c r="N49" s="29">
        <f t="shared" si="4"/>
        <v>13500</v>
      </c>
      <c r="O49" s="29"/>
      <c r="P49" s="22"/>
      <c r="Q49" s="29">
        <f t="shared" si="0"/>
        <v>13500</v>
      </c>
    </row>
    <row r="50" spans="1:17">
      <c r="A50" s="32"/>
      <c r="B50" s="32">
        <v>46</v>
      </c>
      <c r="C50" s="33">
        <v>18140</v>
      </c>
      <c r="D50" s="33">
        <v>13500</v>
      </c>
      <c r="E50" s="33">
        <v>36645</v>
      </c>
      <c r="F50" s="33">
        <v>19774</v>
      </c>
      <c r="G50" s="34">
        <v>0</v>
      </c>
      <c r="H50" s="33">
        <v>226396</v>
      </c>
      <c r="I50" s="33">
        <v>246170</v>
      </c>
      <c r="L50" s="35">
        <f t="shared" si="2"/>
        <v>46</v>
      </c>
      <c r="M50" s="22"/>
      <c r="N50" s="29">
        <f t="shared" si="4"/>
        <v>13500</v>
      </c>
      <c r="O50" s="29"/>
      <c r="P50" s="22"/>
      <c r="Q50" s="29">
        <f t="shared" si="0"/>
        <v>13500</v>
      </c>
    </row>
    <row r="51" spans="1:17">
      <c r="A51" s="32"/>
      <c r="B51" s="31">
        <v>47</v>
      </c>
      <c r="C51" s="36">
        <v>17464</v>
      </c>
      <c r="D51" s="36">
        <v>13500</v>
      </c>
      <c r="E51" s="36">
        <v>34927</v>
      </c>
      <c r="F51" s="36">
        <v>18892</v>
      </c>
      <c r="G51" s="37">
        <v>0</v>
      </c>
      <c r="H51" s="36">
        <v>230064</v>
      </c>
      <c r="I51" s="36">
        <v>248956</v>
      </c>
      <c r="L51" s="35">
        <f t="shared" si="2"/>
        <v>47</v>
      </c>
      <c r="M51" s="22"/>
      <c r="N51" s="29">
        <f t="shared" si="4"/>
        <v>13500</v>
      </c>
      <c r="O51" s="29"/>
      <c r="P51" s="22"/>
      <c r="Q51" s="29">
        <f t="shared" si="0"/>
        <v>13500</v>
      </c>
    </row>
    <row r="52" spans="1:17">
      <c r="A52" s="32"/>
      <c r="B52" s="31">
        <v>48</v>
      </c>
      <c r="C52" s="36">
        <v>16654</v>
      </c>
      <c r="D52" s="36">
        <v>13500</v>
      </c>
      <c r="E52" s="36">
        <v>33309</v>
      </c>
      <c r="F52" s="36">
        <v>18087</v>
      </c>
      <c r="G52" s="37">
        <v>0</v>
      </c>
      <c r="H52" s="36">
        <v>233862</v>
      </c>
      <c r="I52" s="36">
        <v>251949</v>
      </c>
      <c r="L52" s="35">
        <f t="shared" si="2"/>
        <v>48</v>
      </c>
      <c r="M52" s="22"/>
      <c r="N52" s="29">
        <f t="shared" si="4"/>
        <v>13500</v>
      </c>
      <c r="O52" s="29"/>
      <c r="P52" s="22"/>
      <c r="Q52" s="29">
        <f t="shared" si="0"/>
        <v>13500</v>
      </c>
    </row>
    <row r="53" spans="1:17">
      <c r="A53" s="32"/>
      <c r="B53" s="31">
        <v>49</v>
      </c>
      <c r="C53" s="36">
        <v>15895</v>
      </c>
      <c r="D53" s="36">
        <v>13500</v>
      </c>
      <c r="E53" s="36">
        <v>31790</v>
      </c>
      <c r="F53" s="36">
        <v>17310</v>
      </c>
      <c r="G53" s="37">
        <v>0</v>
      </c>
      <c r="H53" s="36">
        <v>238552</v>
      </c>
      <c r="I53" s="36">
        <v>255862</v>
      </c>
      <c r="L53" s="35">
        <f t="shared" si="2"/>
        <v>49</v>
      </c>
      <c r="M53" s="22"/>
      <c r="N53" s="29">
        <f t="shared" si="4"/>
        <v>13500</v>
      </c>
      <c r="O53" s="29"/>
      <c r="P53" s="22"/>
      <c r="Q53" s="29">
        <f t="shared" si="0"/>
        <v>13500</v>
      </c>
    </row>
    <row r="54" spans="1:17">
      <c r="A54" s="32"/>
      <c r="B54" s="38">
        <v>50</v>
      </c>
      <c r="C54" s="39">
        <v>15180</v>
      </c>
      <c r="D54" s="39">
        <v>13500</v>
      </c>
      <c r="E54" s="39">
        <v>30359</v>
      </c>
      <c r="F54" s="39">
        <v>16576</v>
      </c>
      <c r="G54" s="40">
        <v>0</v>
      </c>
      <c r="H54" s="39">
        <v>242601</v>
      </c>
      <c r="I54" s="39">
        <v>259177</v>
      </c>
      <c r="L54" s="35">
        <f t="shared" si="2"/>
        <v>50</v>
      </c>
      <c r="M54" s="22"/>
      <c r="N54" s="29">
        <f t="shared" si="4"/>
        <v>13500</v>
      </c>
      <c r="O54" s="29"/>
      <c r="P54" s="22"/>
      <c r="Q54" s="29">
        <f t="shared" si="0"/>
        <v>13500</v>
      </c>
    </row>
    <row r="55" spans="1:17">
      <c r="A55" s="32"/>
      <c r="B55" s="32">
        <v>51</v>
      </c>
      <c r="C55" s="33">
        <v>14506</v>
      </c>
      <c r="D55" s="33">
        <v>13500</v>
      </c>
      <c r="E55" s="33">
        <v>29012</v>
      </c>
      <c r="F55" s="33">
        <v>15884</v>
      </c>
      <c r="G55" s="34">
        <v>0</v>
      </c>
      <c r="H55" s="33">
        <v>246773</v>
      </c>
      <c r="I55" s="33">
        <v>262657</v>
      </c>
      <c r="L55" s="35">
        <f t="shared" si="2"/>
        <v>51</v>
      </c>
      <c r="M55" s="22"/>
      <c r="N55" s="29">
        <f t="shared" si="4"/>
        <v>13500</v>
      </c>
      <c r="O55" s="29"/>
      <c r="P55" s="22"/>
      <c r="Q55" s="29">
        <f t="shared" si="0"/>
        <v>13500</v>
      </c>
    </row>
    <row r="56" spans="1:17">
      <c r="A56" s="32"/>
      <c r="B56" s="31">
        <v>52</v>
      </c>
      <c r="C56" s="36">
        <v>13871</v>
      </c>
      <c r="D56" s="36">
        <v>13500</v>
      </c>
      <c r="E56" s="36">
        <v>27742</v>
      </c>
      <c r="F56" s="36">
        <v>15231</v>
      </c>
      <c r="G56" s="37">
        <v>0</v>
      </c>
      <c r="H56" s="36">
        <v>251151</v>
      </c>
      <c r="I56" s="36">
        <v>266382</v>
      </c>
      <c r="L56" s="35">
        <f t="shared" si="2"/>
        <v>52</v>
      </c>
      <c r="M56" s="22"/>
      <c r="N56" s="29">
        <f t="shared" si="4"/>
        <v>13500</v>
      </c>
      <c r="O56" s="29"/>
      <c r="P56" s="22"/>
      <c r="Q56" s="29">
        <f t="shared" si="0"/>
        <v>13500</v>
      </c>
    </row>
    <row r="57" spans="1:17">
      <c r="A57" s="32"/>
      <c r="B57" s="31">
        <v>53</v>
      </c>
      <c r="C57" s="36">
        <v>13274</v>
      </c>
      <c r="D57" s="36">
        <v>13500</v>
      </c>
      <c r="E57" s="36">
        <v>26547</v>
      </c>
      <c r="F57" s="36">
        <v>14614</v>
      </c>
      <c r="G57" s="37">
        <v>0</v>
      </c>
      <c r="H57" s="36">
        <v>255727</v>
      </c>
      <c r="I57" s="36">
        <v>270341</v>
      </c>
      <c r="L57" s="35">
        <f t="shared" si="2"/>
        <v>53</v>
      </c>
      <c r="M57" s="22"/>
      <c r="N57" s="29">
        <f t="shared" si="4"/>
        <v>13500</v>
      </c>
      <c r="O57" s="29"/>
      <c r="P57" s="22"/>
      <c r="Q57" s="29">
        <f t="shared" si="0"/>
        <v>13500</v>
      </c>
    </row>
    <row r="58" spans="1:17">
      <c r="A58" s="32"/>
      <c r="B58" s="31">
        <v>54</v>
      </c>
      <c r="C58" s="36">
        <v>12711</v>
      </c>
      <c r="D58" s="36">
        <v>13500</v>
      </c>
      <c r="E58" s="36">
        <v>25422</v>
      </c>
      <c r="F58" s="36">
        <v>14058</v>
      </c>
      <c r="G58" s="37">
        <v>0</v>
      </c>
      <c r="H58" s="36">
        <v>260520</v>
      </c>
      <c r="I58" s="36">
        <v>274578</v>
      </c>
      <c r="L58" s="35">
        <f t="shared" si="2"/>
        <v>54</v>
      </c>
      <c r="M58" s="22"/>
      <c r="N58" s="29">
        <f t="shared" si="4"/>
        <v>13500</v>
      </c>
      <c r="O58" s="29"/>
      <c r="P58" s="22"/>
      <c r="Q58" s="29">
        <f t="shared" si="0"/>
        <v>13500</v>
      </c>
    </row>
    <row r="59" spans="1:17">
      <c r="A59" s="32"/>
      <c r="B59" s="38">
        <v>55</v>
      </c>
      <c r="C59" s="39">
        <v>12181</v>
      </c>
      <c r="D59" s="39">
        <v>13500</v>
      </c>
      <c r="E59" s="39">
        <v>24362</v>
      </c>
      <c r="F59" s="39">
        <v>13509</v>
      </c>
      <c r="G59" s="40">
        <v>0</v>
      </c>
      <c r="H59" s="39">
        <v>265544</v>
      </c>
      <c r="I59" s="39">
        <v>279052</v>
      </c>
      <c r="L59" s="35">
        <f t="shared" si="2"/>
        <v>55</v>
      </c>
      <c r="M59" s="22"/>
      <c r="N59" s="29">
        <f t="shared" si="4"/>
        <v>13500</v>
      </c>
      <c r="O59" s="29"/>
      <c r="P59" s="22"/>
      <c r="Q59" s="29">
        <f t="shared" si="0"/>
        <v>13500</v>
      </c>
    </row>
    <row r="60" spans="1:17">
      <c r="A60" s="32"/>
      <c r="B60" s="32">
        <v>56</v>
      </c>
      <c r="C60" s="33">
        <v>11682</v>
      </c>
      <c r="D60" s="33">
        <v>13500</v>
      </c>
      <c r="E60" s="33">
        <v>23364</v>
      </c>
      <c r="F60" s="33">
        <v>12990</v>
      </c>
      <c r="G60" s="34">
        <v>0</v>
      </c>
      <c r="H60" s="33">
        <v>270837</v>
      </c>
      <c r="I60" s="33">
        <v>283828</v>
      </c>
      <c r="L60" s="35">
        <f t="shared" si="2"/>
        <v>56</v>
      </c>
      <c r="M60" s="22"/>
      <c r="N60" s="29">
        <f t="shared" si="4"/>
        <v>13500</v>
      </c>
      <c r="O60" s="29"/>
      <c r="P60" s="22"/>
      <c r="Q60" s="29">
        <f t="shared" si="0"/>
        <v>13500</v>
      </c>
    </row>
    <row r="61" spans="1:17">
      <c r="A61" s="32"/>
      <c r="B61" s="31">
        <v>57</v>
      </c>
      <c r="C61" s="36">
        <v>11213</v>
      </c>
      <c r="D61" s="36">
        <v>13500</v>
      </c>
      <c r="E61" s="36">
        <v>22425</v>
      </c>
      <c r="F61" s="36">
        <v>12502</v>
      </c>
      <c r="G61" s="37">
        <v>0</v>
      </c>
      <c r="H61" s="36">
        <v>276411</v>
      </c>
      <c r="I61" s="36">
        <v>288913</v>
      </c>
      <c r="L61" s="35">
        <f t="shared" si="2"/>
        <v>57</v>
      </c>
      <c r="M61" s="22"/>
      <c r="N61" s="29">
        <f t="shared" si="4"/>
        <v>13500</v>
      </c>
      <c r="O61" s="29"/>
      <c r="P61" s="29"/>
      <c r="Q61" s="29">
        <f t="shared" si="0"/>
        <v>13500</v>
      </c>
    </row>
    <row r="62" spans="1:17">
      <c r="A62" s="32"/>
      <c r="B62" s="31">
        <v>58</v>
      </c>
      <c r="C62" s="36">
        <v>10771</v>
      </c>
      <c r="D62" s="36">
        <v>13500</v>
      </c>
      <c r="E62" s="36">
        <v>21541</v>
      </c>
      <c r="F62" s="36">
        <v>12042</v>
      </c>
      <c r="G62" s="37">
        <v>0</v>
      </c>
      <c r="H62" s="36">
        <v>282298</v>
      </c>
      <c r="I62" s="36">
        <v>294339</v>
      </c>
      <c r="L62" s="35">
        <f t="shared" si="2"/>
        <v>58</v>
      </c>
      <c r="M62" s="22"/>
      <c r="N62" s="29">
        <f t="shared" si="4"/>
        <v>13500</v>
      </c>
      <c r="O62" s="29"/>
      <c r="P62" s="29"/>
      <c r="Q62" s="29">
        <f t="shared" si="0"/>
        <v>13500</v>
      </c>
    </row>
    <row r="63" spans="1:17">
      <c r="A63" s="31"/>
      <c r="B63" s="31">
        <v>59</v>
      </c>
      <c r="C63" s="36">
        <v>10355</v>
      </c>
      <c r="D63" s="36">
        <v>13500</v>
      </c>
      <c r="E63" s="36">
        <v>20709</v>
      </c>
      <c r="F63" s="36">
        <v>11608</v>
      </c>
      <c r="G63" s="37">
        <v>0</v>
      </c>
      <c r="H63" s="36">
        <v>288483</v>
      </c>
      <c r="I63" s="36">
        <v>300090</v>
      </c>
      <c r="L63" s="35">
        <f t="shared" si="2"/>
        <v>59</v>
      </c>
      <c r="M63" s="22"/>
      <c r="N63" s="29">
        <f t="shared" si="4"/>
        <v>13500</v>
      </c>
      <c r="O63" s="29"/>
      <c r="P63" s="29"/>
      <c r="Q63" s="29">
        <f t="shared" si="0"/>
        <v>13500</v>
      </c>
    </row>
    <row r="64" spans="1:17">
      <c r="A64" s="38"/>
      <c r="B64" s="38">
        <v>60</v>
      </c>
      <c r="C64" s="39">
        <v>9963</v>
      </c>
      <c r="D64" s="39">
        <v>13500</v>
      </c>
      <c r="E64" s="39">
        <v>19927</v>
      </c>
      <c r="F64" s="39">
        <v>11199</v>
      </c>
      <c r="G64" s="40">
        <v>0</v>
      </c>
      <c r="H64" s="39">
        <v>295016</v>
      </c>
      <c r="I64" s="39">
        <v>306215</v>
      </c>
      <c r="L64" s="35">
        <f t="shared" si="2"/>
        <v>60</v>
      </c>
      <c r="M64" s="22"/>
      <c r="N64" s="29">
        <f t="shared" si="4"/>
        <v>13500</v>
      </c>
      <c r="O64" s="29"/>
      <c r="P64" s="29"/>
      <c r="Q64" s="29">
        <f t="shared" si="0"/>
        <v>13500</v>
      </c>
    </row>
    <row r="65" spans="1:17">
      <c r="A65" s="32"/>
      <c r="B65" s="32">
        <v>61</v>
      </c>
      <c r="C65" s="33">
        <v>9595</v>
      </c>
      <c r="D65" s="33">
        <v>13500</v>
      </c>
      <c r="E65" s="33">
        <v>19190</v>
      </c>
      <c r="F65" s="33">
        <v>10814</v>
      </c>
      <c r="G65" s="34">
        <v>0</v>
      </c>
      <c r="H65" s="33">
        <v>301923</v>
      </c>
      <c r="I65" s="33">
        <v>312737</v>
      </c>
      <c r="L65" s="35">
        <f t="shared" si="2"/>
        <v>61</v>
      </c>
      <c r="M65" s="22"/>
      <c r="N65" s="29">
        <f t="shared" si="4"/>
        <v>13500</v>
      </c>
      <c r="O65" s="29"/>
      <c r="P65" s="29"/>
      <c r="Q65" s="29">
        <f t="shared" si="0"/>
        <v>13500</v>
      </c>
    </row>
    <row r="66" spans="1:17">
      <c r="A66" s="31"/>
      <c r="B66" s="31">
        <v>62</v>
      </c>
      <c r="C66" s="36">
        <v>9249</v>
      </c>
      <c r="D66" s="36">
        <v>13500</v>
      </c>
      <c r="E66" s="36">
        <v>18498</v>
      </c>
      <c r="F66" s="36">
        <v>10451</v>
      </c>
      <c r="G66" s="37">
        <v>0</v>
      </c>
      <c r="H66" s="36">
        <v>309247</v>
      </c>
      <c r="I66" s="36">
        <v>319699</v>
      </c>
      <c r="L66" s="35">
        <f t="shared" si="2"/>
        <v>62</v>
      </c>
      <c r="M66" s="22"/>
      <c r="N66" s="29">
        <f t="shared" si="4"/>
        <v>13500</v>
      </c>
      <c r="O66" s="29"/>
      <c r="P66" s="29"/>
      <c r="Q66" s="29">
        <f t="shared" si="0"/>
        <v>13500</v>
      </c>
    </row>
    <row r="67" spans="1:17">
      <c r="A67" s="31"/>
      <c r="B67" s="31">
        <v>63</v>
      </c>
      <c r="C67" s="36">
        <v>8923</v>
      </c>
      <c r="D67" s="36">
        <v>13500</v>
      </c>
      <c r="E67" s="36">
        <v>17847</v>
      </c>
      <c r="F67" s="36">
        <v>10119</v>
      </c>
      <c r="G67" s="37">
        <v>0</v>
      </c>
      <c r="H67" s="36">
        <v>316972</v>
      </c>
      <c r="I67" s="36">
        <v>327091</v>
      </c>
      <c r="L67" s="35">
        <f t="shared" si="2"/>
        <v>63</v>
      </c>
      <c r="M67" s="22"/>
      <c r="N67" s="29">
        <f t="shared" si="4"/>
        <v>13500</v>
      </c>
      <c r="O67" s="29"/>
      <c r="P67" s="29"/>
      <c r="Q67" s="29">
        <f t="shared" si="0"/>
        <v>13500</v>
      </c>
    </row>
    <row r="68" spans="1:17">
      <c r="A68" s="31"/>
      <c r="B68" s="31">
        <v>64</v>
      </c>
      <c r="C68" s="36">
        <v>8617</v>
      </c>
      <c r="D68" s="36">
        <v>13500</v>
      </c>
      <c r="E68" s="36">
        <v>17234</v>
      </c>
      <c r="F68" s="36">
        <v>9806</v>
      </c>
      <c r="G68" s="37">
        <v>0</v>
      </c>
      <c r="H68" s="36">
        <v>325154</v>
      </c>
      <c r="I68" s="36">
        <v>334960</v>
      </c>
      <c r="L68" s="35">
        <f t="shared" si="2"/>
        <v>64</v>
      </c>
      <c r="M68" s="22"/>
      <c r="N68" s="29">
        <f t="shared" si="4"/>
        <v>13500</v>
      </c>
      <c r="O68" s="29"/>
      <c r="P68" s="29"/>
      <c r="Q68" s="29">
        <f t="shared" si="0"/>
        <v>13500</v>
      </c>
    </row>
    <row r="69" spans="1:17">
      <c r="A69" s="38"/>
      <c r="B69" s="38">
        <v>65</v>
      </c>
      <c r="C69" s="39">
        <v>8329</v>
      </c>
      <c r="D69" s="39">
        <v>13500</v>
      </c>
      <c r="E69" s="39">
        <v>16658</v>
      </c>
      <c r="F69" s="39">
        <v>9512</v>
      </c>
      <c r="G69" s="40">
        <v>0</v>
      </c>
      <c r="H69" s="39">
        <v>333847</v>
      </c>
      <c r="I69" s="39">
        <v>343359</v>
      </c>
      <c r="L69" s="35">
        <f t="shared" si="2"/>
        <v>65</v>
      </c>
      <c r="M69" s="22"/>
      <c r="N69" s="29">
        <f t="shared" si="4"/>
        <v>13500</v>
      </c>
      <c r="O69" s="29"/>
      <c r="P69" s="29"/>
      <c r="Q69" s="29">
        <f t="shared" ref="Q69:Q101" si="5">M69+N69+P69+O69</f>
        <v>13500</v>
      </c>
    </row>
    <row r="70" spans="1:17">
      <c r="A70" s="32"/>
      <c r="B70" s="32">
        <v>66</v>
      </c>
      <c r="C70" s="33">
        <v>8059</v>
      </c>
      <c r="D70" s="33">
        <v>13500</v>
      </c>
      <c r="E70" s="33">
        <v>16117</v>
      </c>
      <c r="F70" s="33">
        <v>9235</v>
      </c>
      <c r="G70" s="34">
        <v>0</v>
      </c>
      <c r="H70" s="33">
        <v>343051</v>
      </c>
      <c r="I70" s="33">
        <v>352286</v>
      </c>
      <c r="L70" s="35">
        <f t="shared" si="2"/>
        <v>66</v>
      </c>
      <c r="M70" s="22"/>
      <c r="N70" s="29">
        <f t="shared" si="4"/>
        <v>13500</v>
      </c>
      <c r="O70" s="29"/>
      <c r="P70" s="29"/>
      <c r="Q70" s="29">
        <f t="shared" si="5"/>
        <v>13500</v>
      </c>
    </row>
    <row r="71" spans="1:17">
      <c r="A71" s="31"/>
      <c r="B71" s="31">
        <v>67</v>
      </c>
      <c r="C71" s="36">
        <v>7804</v>
      </c>
      <c r="D71" s="36">
        <v>13500</v>
      </c>
      <c r="E71" s="36">
        <v>15608</v>
      </c>
      <c r="F71" s="36">
        <v>8975</v>
      </c>
      <c r="G71" s="37">
        <v>0</v>
      </c>
      <c r="H71" s="36">
        <v>352813</v>
      </c>
      <c r="I71" s="36">
        <v>361788</v>
      </c>
      <c r="L71" s="35">
        <f t="shared" ref="L71:L103" si="6">B71</f>
        <v>67</v>
      </c>
      <c r="M71" s="22"/>
      <c r="N71" s="29">
        <f t="shared" si="4"/>
        <v>13500</v>
      </c>
      <c r="O71" s="29"/>
      <c r="P71" s="29"/>
      <c r="Q71" s="29">
        <f t="shared" si="5"/>
        <v>13500</v>
      </c>
    </row>
    <row r="72" spans="1:17">
      <c r="A72" s="31"/>
      <c r="B72" s="31">
        <v>68</v>
      </c>
      <c r="C72" s="36">
        <v>7565</v>
      </c>
      <c r="D72" s="36">
        <v>13500</v>
      </c>
      <c r="E72" s="36">
        <v>15131</v>
      </c>
      <c r="F72" s="36">
        <v>8746</v>
      </c>
      <c r="G72" s="37">
        <v>0</v>
      </c>
      <c r="H72" s="36">
        <v>363166</v>
      </c>
      <c r="I72" s="36">
        <v>371912</v>
      </c>
      <c r="L72" s="35">
        <f t="shared" si="6"/>
        <v>68</v>
      </c>
      <c r="M72" s="22"/>
      <c r="N72" s="29">
        <f t="shared" si="4"/>
        <v>13500</v>
      </c>
      <c r="O72" s="29"/>
      <c r="P72" s="29"/>
      <c r="Q72" s="29">
        <f t="shared" si="5"/>
        <v>13500</v>
      </c>
    </row>
    <row r="73" spans="1:17">
      <c r="A73" s="31"/>
      <c r="B73" s="31">
        <v>69</v>
      </c>
      <c r="C73" s="36">
        <v>7341</v>
      </c>
      <c r="D73" s="36">
        <v>13500</v>
      </c>
      <c r="E73" s="36">
        <v>14682</v>
      </c>
      <c r="F73" s="36">
        <v>8510</v>
      </c>
      <c r="G73" s="37">
        <v>0</v>
      </c>
      <c r="H73" s="36">
        <v>374168</v>
      </c>
      <c r="I73" s="36">
        <v>382678</v>
      </c>
      <c r="L73" s="35">
        <f t="shared" si="6"/>
        <v>69</v>
      </c>
      <c r="M73" s="22"/>
      <c r="N73" s="29">
        <f t="shared" si="4"/>
        <v>13500</v>
      </c>
      <c r="O73" s="29"/>
      <c r="P73" s="29"/>
      <c r="Q73" s="29">
        <f t="shared" si="5"/>
        <v>13500</v>
      </c>
    </row>
    <row r="74" spans="1:17">
      <c r="A74" s="38"/>
      <c r="B74" s="38">
        <v>70</v>
      </c>
      <c r="C74" s="39">
        <v>7130</v>
      </c>
      <c r="D74" s="39">
        <v>13500</v>
      </c>
      <c r="E74" s="39">
        <v>14261</v>
      </c>
      <c r="F74" s="39">
        <v>8300</v>
      </c>
      <c r="G74" s="40">
        <v>0</v>
      </c>
      <c r="H74" s="39">
        <v>385862</v>
      </c>
      <c r="I74" s="39">
        <v>394162</v>
      </c>
      <c r="L74" s="35">
        <f t="shared" si="6"/>
        <v>70</v>
      </c>
      <c r="M74" s="22"/>
      <c r="N74" s="29">
        <f t="shared" si="4"/>
        <v>13500</v>
      </c>
      <c r="O74" s="29"/>
      <c r="P74" s="29"/>
      <c r="Q74" s="29">
        <f t="shared" si="5"/>
        <v>13500</v>
      </c>
    </row>
    <row r="75" spans="1:17">
      <c r="A75" s="32"/>
      <c r="B75" s="32">
        <v>71</v>
      </c>
      <c r="C75" s="33">
        <v>6933</v>
      </c>
      <c r="D75" s="33">
        <v>13500</v>
      </c>
      <c r="E75" s="33">
        <v>13865</v>
      </c>
      <c r="F75" s="33">
        <v>8111</v>
      </c>
      <c r="G75" s="34">
        <v>0</v>
      </c>
      <c r="H75" s="33">
        <v>398273</v>
      </c>
      <c r="I75" s="33">
        <v>406384</v>
      </c>
      <c r="L75" s="35">
        <f t="shared" si="6"/>
        <v>71</v>
      </c>
      <c r="M75" s="22"/>
      <c r="N75" s="29">
        <f t="shared" si="4"/>
        <v>13500</v>
      </c>
      <c r="O75" s="29"/>
      <c r="P75" s="29"/>
      <c r="Q75" s="29">
        <f t="shared" si="5"/>
        <v>13500</v>
      </c>
    </row>
    <row r="76" spans="1:17">
      <c r="A76" s="31"/>
      <c r="B76" s="31">
        <v>72</v>
      </c>
      <c r="C76" s="36">
        <v>6747</v>
      </c>
      <c r="D76" s="36">
        <v>13500</v>
      </c>
      <c r="E76" s="36">
        <v>13494</v>
      </c>
      <c r="F76" s="36">
        <v>7921</v>
      </c>
      <c r="G76" s="37">
        <v>0</v>
      </c>
      <c r="H76" s="36">
        <v>411470</v>
      </c>
      <c r="I76" s="36">
        <v>419390</v>
      </c>
      <c r="L76" s="35">
        <f t="shared" si="6"/>
        <v>72</v>
      </c>
      <c r="M76" s="22"/>
      <c r="N76" s="29">
        <f t="shared" si="4"/>
        <v>13500</v>
      </c>
      <c r="O76" s="29"/>
      <c r="P76" s="29"/>
      <c r="Q76" s="29">
        <f t="shared" si="5"/>
        <v>13500</v>
      </c>
    </row>
    <row r="77" spans="1:17">
      <c r="A77" s="31"/>
      <c r="B77" s="31">
        <v>73</v>
      </c>
      <c r="C77" s="36">
        <v>6573</v>
      </c>
      <c r="D77" s="36">
        <v>13500</v>
      </c>
      <c r="E77" s="36">
        <v>13146</v>
      </c>
      <c r="F77" s="36">
        <v>7756</v>
      </c>
      <c r="G77" s="37">
        <v>0</v>
      </c>
      <c r="H77" s="36">
        <v>425502</v>
      </c>
      <c r="I77" s="36">
        <v>433258</v>
      </c>
      <c r="L77" s="35">
        <f t="shared" si="6"/>
        <v>73</v>
      </c>
      <c r="M77" s="22"/>
      <c r="N77" s="29">
        <f t="shared" ref="N77:N109" si="7">D77</f>
        <v>13500</v>
      </c>
      <c r="O77" s="29"/>
      <c r="P77" s="29"/>
      <c r="Q77" s="29">
        <f t="shared" si="5"/>
        <v>13500</v>
      </c>
    </row>
    <row r="78" spans="1:17">
      <c r="A78" s="31"/>
      <c r="B78" s="31">
        <v>74</v>
      </c>
      <c r="C78" s="36">
        <v>6410</v>
      </c>
      <c r="D78" s="36">
        <v>13500</v>
      </c>
      <c r="E78" s="36">
        <v>12819</v>
      </c>
      <c r="F78" s="36">
        <v>7589</v>
      </c>
      <c r="G78" s="37">
        <v>0</v>
      </c>
      <c r="H78" s="36">
        <v>440421</v>
      </c>
      <c r="I78" s="36">
        <v>448010</v>
      </c>
      <c r="L78" s="35">
        <f t="shared" si="6"/>
        <v>74</v>
      </c>
      <c r="M78" s="22"/>
      <c r="N78" s="29">
        <f t="shared" si="7"/>
        <v>13500</v>
      </c>
      <c r="O78" s="29"/>
      <c r="P78" s="29"/>
      <c r="Q78" s="29">
        <f t="shared" si="5"/>
        <v>13500</v>
      </c>
    </row>
    <row r="79" spans="1:17">
      <c r="A79" s="38"/>
      <c r="B79" s="38">
        <v>75</v>
      </c>
      <c r="C79" s="39">
        <v>6257</v>
      </c>
      <c r="D79" s="39">
        <v>13500</v>
      </c>
      <c r="E79" s="39">
        <v>12513</v>
      </c>
      <c r="F79" s="39">
        <v>7433</v>
      </c>
      <c r="G79" s="40">
        <v>0</v>
      </c>
      <c r="H79" s="39">
        <v>456287</v>
      </c>
      <c r="I79" s="39">
        <v>463720</v>
      </c>
      <c r="L79" s="35">
        <f t="shared" si="6"/>
        <v>75</v>
      </c>
      <c r="M79" s="22"/>
      <c r="N79" s="29">
        <f t="shared" si="7"/>
        <v>13500</v>
      </c>
      <c r="O79" s="29"/>
      <c r="P79" s="29"/>
      <c r="Q79" s="29">
        <f t="shared" si="5"/>
        <v>13500</v>
      </c>
    </row>
    <row r="80" spans="1:17">
      <c r="A80" s="32"/>
      <c r="B80" s="32">
        <v>76</v>
      </c>
      <c r="C80" s="33">
        <v>6113</v>
      </c>
      <c r="D80" s="33">
        <v>13500</v>
      </c>
      <c r="E80" s="33">
        <v>12227</v>
      </c>
      <c r="F80" s="33">
        <v>7287</v>
      </c>
      <c r="G80" s="34">
        <v>0</v>
      </c>
      <c r="H80" s="33">
        <v>473173</v>
      </c>
      <c r="I80" s="33">
        <v>480460</v>
      </c>
      <c r="L80" s="35">
        <f t="shared" si="6"/>
        <v>76</v>
      </c>
      <c r="M80" s="22"/>
      <c r="N80" s="29">
        <f t="shared" si="7"/>
        <v>13500</v>
      </c>
      <c r="O80" s="29"/>
      <c r="P80" s="29"/>
      <c r="Q80" s="29">
        <f t="shared" si="5"/>
        <v>13500</v>
      </c>
    </row>
    <row r="81" spans="1:17">
      <c r="A81" s="31"/>
      <c r="B81" s="31">
        <v>77</v>
      </c>
      <c r="C81" s="36">
        <v>5979</v>
      </c>
      <c r="D81" s="36">
        <v>13500</v>
      </c>
      <c r="E81" s="36">
        <v>11958</v>
      </c>
      <c r="F81" s="36">
        <v>7163</v>
      </c>
      <c r="G81" s="37">
        <v>0</v>
      </c>
      <c r="H81" s="36">
        <v>491113</v>
      </c>
      <c r="I81" s="36">
        <v>498276</v>
      </c>
      <c r="L81" s="35">
        <f t="shared" si="6"/>
        <v>77</v>
      </c>
      <c r="M81" s="22"/>
      <c r="N81" s="29">
        <f t="shared" si="7"/>
        <v>13500</v>
      </c>
      <c r="O81" s="29"/>
      <c r="P81" s="29"/>
      <c r="Q81" s="29">
        <f t="shared" si="5"/>
        <v>13500</v>
      </c>
    </row>
    <row r="82" spans="1:17">
      <c r="A82" s="31"/>
      <c r="B82" s="31">
        <v>78</v>
      </c>
      <c r="C82" s="36">
        <v>5854</v>
      </c>
      <c r="D82" s="36">
        <v>13500</v>
      </c>
      <c r="E82" s="36">
        <v>11707</v>
      </c>
      <c r="F82" s="36">
        <v>7048</v>
      </c>
      <c r="G82" s="37">
        <v>0</v>
      </c>
      <c r="H82" s="36">
        <v>510215</v>
      </c>
      <c r="I82" s="36">
        <v>517262</v>
      </c>
      <c r="L82" s="35">
        <f t="shared" si="6"/>
        <v>78</v>
      </c>
      <c r="M82" s="22"/>
      <c r="N82" s="29">
        <f t="shared" si="7"/>
        <v>13500</v>
      </c>
      <c r="O82" s="29"/>
      <c r="P82" s="29"/>
      <c r="Q82" s="29">
        <f t="shared" si="5"/>
        <v>13500</v>
      </c>
    </row>
    <row r="83" spans="1:17">
      <c r="A83" s="31"/>
      <c r="B83" s="31">
        <v>79</v>
      </c>
      <c r="C83" s="36">
        <v>5736</v>
      </c>
      <c r="D83" s="36">
        <v>13500</v>
      </c>
      <c r="E83" s="36">
        <v>11472</v>
      </c>
      <c r="F83" s="36">
        <v>6929</v>
      </c>
      <c r="G83" s="37">
        <v>0</v>
      </c>
      <c r="H83" s="36">
        <v>530533</v>
      </c>
      <c r="I83" s="36">
        <v>537462</v>
      </c>
      <c r="L83" s="35">
        <f t="shared" si="6"/>
        <v>79</v>
      </c>
      <c r="M83" s="22"/>
      <c r="N83" s="29">
        <f t="shared" si="7"/>
        <v>13500</v>
      </c>
      <c r="O83" s="29"/>
      <c r="P83" s="29"/>
      <c r="Q83" s="29">
        <f t="shared" si="5"/>
        <v>13500</v>
      </c>
    </row>
    <row r="84" spans="1:17">
      <c r="A84" s="38"/>
      <c r="B84" s="38">
        <v>80</v>
      </c>
      <c r="C84" s="39">
        <v>5626</v>
      </c>
      <c r="D84" s="39">
        <v>13500</v>
      </c>
      <c r="E84" s="39">
        <v>11252</v>
      </c>
      <c r="F84" s="39">
        <v>6830</v>
      </c>
      <c r="G84" s="40">
        <v>0</v>
      </c>
      <c r="H84" s="39">
        <v>552160</v>
      </c>
      <c r="I84" s="39">
        <v>558990</v>
      </c>
      <c r="L84" s="35">
        <f t="shared" si="6"/>
        <v>80</v>
      </c>
      <c r="M84" s="22"/>
      <c r="N84" s="29">
        <f t="shared" si="7"/>
        <v>13500</v>
      </c>
      <c r="O84" s="29"/>
      <c r="P84" s="29"/>
      <c r="Q84" s="29">
        <f t="shared" si="5"/>
        <v>13500</v>
      </c>
    </row>
    <row r="85" spans="1:17">
      <c r="A85" s="32"/>
      <c r="B85" s="32">
        <v>81</v>
      </c>
      <c r="C85" s="33">
        <v>5524</v>
      </c>
      <c r="D85" s="33">
        <v>13500</v>
      </c>
      <c r="E85" s="33">
        <v>11047</v>
      </c>
      <c r="F85" s="33">
        <v>6739</v>
      </c>
      <c r="G85" s="34">
        <v>0</v>
      </c>
      <c r="H85" s="33">
        <v>575173</v>
      </c>
      <c r="I85" s="33">
        <v>581911</v>
      </c>
      <c r="L85" s="35">
        <f t="shared" si="6"/>
        <v>81</v>
      </c>
      <c r="M85" s="22"/>
      <c r="N85" s="29">
        <f t="shared" si="7"/>
        <v>13500</v>
      </c>
      <c r="O85" s="29"/>
      <c r="P85" s="29"/>
      <c r="Q85" s="29">
        <f t="shared" si="5"/>
        <v>13500</v>
      </c>
    </row>
    <row r="86" spans="1:17">
      <c r="A86" s="31"/>
      <c r="B86" s="31">
        <v>82</v>
      </c>
      <c r="C86" s="36">
        <v>5428</v>
      </c>
      <c r="D86" s="36">
        <v>13500</v>
      </c>
      <c r="E86" s="36">
        <v>10855</v>
      </c>
      <c r="F86" s="36">
        <v>6643</v>
      </c>
      <c r="G86" s="37">
        <v>0</v>
      </c>
      <c r="H86" s="36">
        <v>599671</v>
      </c>
      <c r="I86" s="36">
        <v>606314</v>
      </c>
      <c r="L86" s="35">
        <f t="shared" si="6"/>
        <v>82</v>
      </c>
      <c r="M86" s="22"/>
      <c r="N86" s="29">
        <f t="shared" si="7"/>
        <v>13500</v>
      </c>
      <c r="O86" s="29"/>
      <c r="P86" s="29"/>
      <c r="Q86" s="29">
        <f t="shared" si="5"/>
        <v>13500</v>
      </c>
    </row>
    <row r="87" spans="1:17">
      <c r="A87" s="31"/>
      <c r="B87" s="31">
        <v>83</v>
      </c>
      <c r="C87" s="36">
        <v>5338</v>
      </c>
      <c r="D87" s="36">
        <v>13500</v>
      </c>
      <c r="E87" s="36">
        <v>10677</v>
      </c>
      <c r="F87" s="36">
        <v>6566</v>
      </c>
      <c r="G87" s="37">
        <v>0</v>
      </c>
      <c r="H87" s="36">
        <v>625743</v>
      </c>
      <c r="I87" s="36">
        <v>632309</v>
      </c>
      <c r="L87" s="35">
        <f t="shared" si="6"/>
        <v>83</v>
      </c>
      <c r="M87" s="22"/>
      <c r="N87" s="29">
        <f t="shared" si="7"/>
        <v>13500</v>
      </c>
      <c r="O87" s="29"/>
      <c r="P87" s="29"/>
      <c r="Q87" s="29">
        <f t="shared" si="5"/>
        <v>13500</v>
      </c>
    </row>
    <row r="88" spans="1:17">
      <c r="A88" s="31"/>
      <c r="B88" s="31">
        <v>84</v>
      </c>
      <c r="C88" s="36">
        <v>5255</v>
      </c>
      <c r="D88" s="36">
        <v>13500</v>
      </c>
      <c r="E88" s="36">
        <v>10510</v>
      </c>
      <c r="F88" s="36">
        <v>6495</v>
      </c>
      <c r="G88" s="37">
        <v>0</v>
      </c>
      <c r="H88" s="36">
        <v>653507</v>
      </c>
      <c r="I88" s="36">
        <v>660002</v>
      </c>
      <c r="L88" s="35">
        <f t="shared" si="6"/>
        <v>84</v>
      </c>
      <c r="M88" s="22"/>
      <c r="N88" s="29">
        <f t="shared" si="7"/>
        <v>13500</v>
      </c>
      <c r="O88" s="29"/>
      <c r="P88" s="29"/>
      <c r="Q88" s="29">
        <f t="shared" si="5"/>
        <v>13500</v>
      </c>
    </row>
    <row r="89" spans="1:17">
      <c r="A89" s="38"/>
      <c r="B89" s="38">
        <v>85</v>
      </c>
      <c r="C89" s="39">
        <v>5177</v>
      </c>
      <c r="D89" s="39">
        <v>13500</v>
      </c>
      <c r="E89" s="39">
        <v>10355</v>
      </c>
      <c r="F89" s="39">
        <v>6420</v>
      </c>
      <c r="G89" s="40">
        <v>0</v>
      </c>
      <c r="H89" s="39">
        <v>683061</v>
      </c>
      <c r="I89" s="39">
        <v>689481</v>
      </c>
      <c r="L89" s="35">
        <f t="shared" si="6"/>
        <v>85</v>
      </c>
      <c r="M89" s="22"/>
      <c r="N89" s="29">
        <f t="shared" si="7"/>
        <v>13500</v>
      </c>
      <c r="O89" s="29"/>
      <c r="P89" s="29"/>
      <c r="Q89" s="29">
        <f t="shared" si="5"/>
        <v>13500</v>
      </c>
    </row>
    <row r="90" spans="1:17">
      <c r="A90" s="32"/>
      <c r="B90" s="32">
        <v>86</v>
      </c>
      <c r="C90" s="33">
        <v>5105</v>
      </c>
      <c r="D90" s="33">
        <v>13500</v>
      </c>
      <c r="E90" s="33">
        <v>10210</v>
      </c>
      <c r="F90" s="33">
        <v>6361</v>
      </c>
      <c r="G90" s="34">
        <v>0</v>
      </c>
      <c r="H90" s="33">
        <v>714512</v>
      </c>
      <c r="I90" s="33">
        <v>720873</v>
      </c>
      <c r="L90" s="35">
        <f t="shared" si="6"/>
        <v>86</v>
      </c>
      <c r="M90" s="22"/>
      <c r="N90" s="29">
        <f t="shared" si="7"/>
        <v>13500</v>
      </c>
      <c r="O90" s="29"/>
      <c r="P90" s="29"/>
      <c r="Q90" s="29">
        <f t="shared" si="5"/>
        <v>13500</v>
      </c>
    </row>
    <row r="91" spans="1:17">
      <c r="A91" s="31"/>
      <c r="B91" s="31">
        <v>87</v>
      </c>
      <c r="C91" s="36">
        <v>5038</v>
      </c>
      <c r="D91" s="36">
        <v>13500</v>
      </c>
      <c r="E91" s="36">
        <v>10076</v>
      </c>
      <c r="F91" s="36">
        <v>6308</v>
      </c>
      <c r="G91" s="37">
        <v>0</v>
      </c>
      <c r="H91" s="36">
        <v>748008</v>
      </c>
      <c r="I91" s="36">
        <v>754316</v>
      </c>
      <c r="L91" s="35">
        <f t="shared" si="6"/>
        <v>87</v>
      </c>
      <c r="M91" s="22"/>
      <c r="N91" s="29">
        <f t="shared" si="7"/>
        <v>13500</v>
      </c>
      <c r="O91" s="29"/>
      <c r="P91" s="29"/>
      <c r="Q91" s="29">
        <f t="shared" si="5"/>
        <v>13500</v>
      </c>
    </row>
    <row r="92" spans="1:17">
      <c r="A92" s="31"/>
      <c r="B92" s="31">
        <v>88</v>
      </c>
      <c r="C92" s="36">
        <v>4976</v>
      </c>
      <c r="D92" s="36">
        <v>13500</v>
      </c>
      <c r="E92" s="36">
        <v>9952</v>
      </c>
      <c r="F92" s="36">
        <v>6250</v>
      </c>
      <c r="G92" s="37">
        <v>0</v>
      </c>
      <c r="H92" s="36">
        <v>783676</v>
      </c>
      <c r="I92" s="36">
        <v>789926</v>
      </c>
      <c r="L92" s="35">
        <f t="shared" si="6"/>
        <v>88</v>
      </c>
      <c r="M92" s="22"/>
      <c r="N92" s="29">
        <f t="shared" si="7"/>
        <v>13500</v>
      </c>
      <c r="O92" s="29"/>
      <c r="P92" s="29"/>
      <c r="Q92" s="29">
        <f t="shared" si="5"/>
        <v>13500</v>
      </c>
    </row>
    <row r="93" spans="1:17">
      <c r="A93" s="31"/>
      <c r="B93" s="31">
        <v>89</v>
      </c>
      <c r="C93" s="36">
        <v>4918</v>
      </c>
      <c r="D93" s="36">
        <v>13500</v>
      </c>
      <c r="E93" s="36">
        <v>9836</v>
      </c>
      <c r="F93" s="36">
        <v>6207</v>
      </c>
      <c r="G93" s="37">
        <v>0</v>
      </c>
      <c r="H93" s="36">
        <v>821644</v>
      </c>
      <c r="I93" s="36">
        <v>827850</v>
      </c>
      <c r="L93" s="35">
        <f t="shared" si="6"/>
        <v>89</v>
      </c>
      <c r="M93" s="22"/>
      <c r="N93" s="29">
        <f t="shared" si="7"/>
        <v>13500</v>
      </c>
      <c r="O93" s="29"/>
      <c r="P93" s="29"/>
      <c r="Q93" s="29">
        <f t="shared" si="5"/>
        <v>13500</v>
      </c>
    </row>
    <row r="94" spans="1:17">
      <c r="A94" s="38"/>
      <c r="B94" s="38">
        <v>90</v>
      </c>
      <c r="C94" s="39">
        <v>4865</v>
      </c>
      <c r="D94" s="39">
        <v>13500</v>
      </c>
      <c r="E94" s="39">
        <v>9729</v>
      </c>
      <c r="F94" s="39">
        <v>6159</v>
      </c>
      <c r="G94" s="40">
        <v>0</v>
      </c>
      <c r="H94" s="39">
        <v>862077</v>
      </c>
      <c r="I94" s="39">
        <v>868236</v>
      </c>
      <c r="L94" s="35">
        <f t="shared" si="6"/>
        <v>90</v>
      </c>
      <c r="M94" s="22"/>
      <c r="N94" s="29">
        <f t="shared" si="7"/>
        <v>13500</v>
      </c>
      <c r="O94" s="29"/>
      <c r="P94" s="29">
        <f t="shared" ref="P94" si="8">I94</f>
        <v>868236</v>
      </c>
      <c r="Q94" s="29">
        <f t="shared" si="5"/>
        <v>881736</v>
      </c>
    </row>
    <row r="95" spans="1:17">
      <c r="P95" s="41" t="s">
        <v>19</v>
      </c>
      <c r="Q95" s="42">
        <f>IRR(Q4:Q94)</f>
        <v>6.18468854970462E-2</v>
      </c>
    </row>
  </sheetData>
  <mergeCells count="8">
    <mergeCell ref="A1:A3"/>
    <mergeCell ref="B1:B3"/>
    <mergeCell ref="C1:C3"/>
    <mergeCell ref="D1:D3"/>
    <mergeCell ref="E1:E3"/>
    <mergeCell ref="F1:I1"/>
    <mergeCell ref="G2:H2"/>
    <mergeCell ref="I2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提取参考：第10年9%持续提取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Wu</dc:creator>
  <cp:lastModifiedBy>Derek Wu</cp:lastModifiedBy>
  <dcterms:created xsi:type="dcterms:W3CDTF">2026-04-12T12:13:13Z</dcterms:created>
  <dcterms:modified xsi:type="dcterms:W3CDTF">2026-04-12T12:13:29Z</dcterms:modified>
</cp:coreProperties>
</file>
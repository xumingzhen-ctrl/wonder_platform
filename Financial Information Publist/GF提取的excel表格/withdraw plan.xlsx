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ek/Library/Mobile Documents/com~apple~CloudDocs/AIA/客户资料/重点客户/俞佳稚/"/>
    </mc:Choice>
  </mc:AlternateContent>
  <xr:revisionPtr revIDLastSave="0" documentId="13_ncr:1_{1DE66DC4-6A31-1A45-BC07-260F17B13998}" xr6:coauthVersionLast="47" xr6:coauthVersionMax="47" xr10:uidLastSave="{00000000-0000-0000-0000-000000000000}"/>
  <bookViews>
    <workbookView xWindow="17180" yWindow="760" windowWidth="17380" windowHeight="19680" firstSheet="1" activeTab="1" xr2:uid="{30B5F3E1-18F1-EC42-874D-397F633EF94B}"/>
  </bookViews>
  <sheets>
    <sheet name="5w5完全提取" sheetId="15" r:id="rId1"/>
    <sheet name="5w5 18年调增提取" sheetId="13" r:id="rId2"/>
    <sheet name="不提取累积情况" sheetId="5" r:id="rId3"/>
    <sheet name="提取参考：第10年9%持续提取" sheetId="7" r:id="rId4"/>
    <sheet name="提取参考：第11年6.7%+2%通胀调增" sheetId="9" r:id="rId5"/>
    <sheet name="提取参考：第15年9%通胀调增" sheetId="11" r:id="rId6"/>
    <sheet name="提取参考：第18年15%持续提取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5" l="1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" i="15"/>
  <c r="M4" i="13"/>
  <c r="P104" i="13"/>
  <c r="N11" i="13"/>
  <c r="N12" i="13"/>
  <c r="N13" i="13"/>
  <c r="N14" i="13"/>
  <c r="N15" i="13"/>
  <c r="N16" i="13"/>
  <c r="N17" i="13"/>
  <c r="Q17" i="13" s="1"/>
  <c r="N18" i="13"/>
  <c r="Q18" i="13" s="1"/>
  <c r="N19" i="13"/>
  <c r="Q19" i="13" s="1"/>
  <c r="N20" i="13"/>
  <c r="Q20" i="13" s="1"/>
  <c r="N21" i="13"/>
  <c r="N22" i="13"/>
  <c r="N23" i="13"/>
  <c r="N24" i="13"/>
  <c r="N25" i="13"/>
  <c r="N26" i="13"/>
  <c r="N27" i="13"/>
  <c r="Q27" i="13" s="1"/>
  <c r="N28" i="13"/>
  <c r="Q28" i="13" s="1"/>
  <c r="N29" i="13"/>
  <c r="Q29" i="13" s="1"/>
  <c r="N30" i="13"/>
  <c r="Q30" i="13" s="1"/>
  <c r="N31" i="13"/>
  <c r="N32" i="13"/>
  <c r="N33" i="13"/>
  <c r="N34" i="13"/>
  <c r="N35" i="13"/>
  <c r="N36" i="13"/>
  <c r="N37" i="13"/>
  <c r="Q37" i="13" s="1"/>
  <c r="N38" i="13"/>
  <c r="Q38" i="13" s="1"/>
  <c r="N39" i="13"/>
  <c r="Q39" i="13" s="1"/>
  <c r="N40" i="13"/>
  <c r="Q40" i="13" s="1"/>
  <c r="N41" i="13"/>
  <c r="N42" i="13"/>
  <c r="N43" i="13"/>
  <c r="N44" i="13"/>
  <c r="N45" i="13"/>
  <c r="N46" i="13"/>
  <c r="N47" i="13"/>
  <c r="Q47" i="13" s="1"/>
  <c r="N48" i="13"/>
  <c r="Q48" i="13" s="1"/>
  <c r="N49" i="13"/>
  <c r="Q49" i="13" s="1"/>
  <c r="N50" i="13"/>
  <c r="Q50" i="13" s="1"/>
  <c r="N51" i="13"/>
  <c r="N52" i="13"/>
  <c r="N53" i="13"/>
  <c r="N54" i="13"/>
  <c r="N55" i="13"/>
  <c r="N56" i="13"/>
  <c r="N57" i="13"/>
  <c r="Q57" i="13" s="1"/>
  <c r="N58" i="13"/>
  <c r="Q58" i="13" s="1"/>
  <c r="N59" i="13"/>
  <c r="Q59" i="13" s="1"/>
  <c r="N60" i="13"/>
  <c r="Q60" i="13" s="1"/>
  <c r="N61" i="13"/>
  <c r="N62" i="13"/>
  <c r="N63" i="13"/>
  <c r="N64" i="13"/>
  <c r="N65" i="13"/>
  <c r="N66" i="13"/>
  <c r="N67" i="13"/>
  <c r="Q67" i="13" s="1"/>
  <c r="N68" i="13"/>
  <c r="Q68" i="13" s="1"/>
  <c r="N69" i="13"/>
  <c r="Q69" i="13" s="1"/>
  <c r="N70" i="13"/>
  <c r="Q70" i="13" s="1"/>
  <c r="N71" i="13"/>
  <c r="N72" i="13"/>
  <c r="N73" i="13"/>
  <c r="N74" i="13"/>
  <c r="N75" i="13"/>
  <c r="N76" i="13"/>
  <c r="N77" i="13"/>
  <c r="Q77" i="13" s="1"/>
  <c r="N78" i="13"/>
  <c r="Q78" i="13" s="1"/>
  <c r="N79" i="13"/>
  <c r="Q79" i="13" s="1"/>
  <c r="N80" i="13"/>
  <c r="Q80" i="13" s="1"/>
  <c r="N81" i="13"/>
  <c r="N82" i="13"/>
  <c r="N83" i="13"/>
  <c r="N84" i="13"/>
  <c r="N85" i="13"/>
  <c r="N86" i="13"/>
  <c r="N87" i="13"/>
  <c r="Q87" i="13" s="1"/>
  <c r="N88" i="13"/>
  <c r="Q88" i="13" s="1"/>
  <c r="N89" i="13"/>
  <c r="Q89" i="13" s="1"/>
  <c r="N90" i="13"/>
  <c r="Q90" i="13" s="1"/>
  <c r="N91" i="13"/>
  <c r="N92" i="13"/>
  <c r="N93" i="13"/>
  <c r="N94" i="13"/>
  <c r="N95" i="13"/>
  <c r="N96" i="13"/>
  <c r="N97" i="13"/>
  <c r="Q97" i="13" s="1"/>
  <c r="N98" i="13"/>
  <c r="Q98" i="13" s="1"/>
  <c r="N99" i="13"/>
  <c r="Q99" i="13" s="1"/>
  <c r="N100" i="13"/>
  <c r="Q100" i="13" s="1"/>
  <c r="N101" i="13"/>
  <c r="N102" i="13"/>
  <c r="N103" i="13"/>
  <c r="N104" i="13"/>
  <c r="N10" i="13"/>
  <c r="O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5" i="13"/>
  <c r="Q104" i="13"/>
  <c r="Q103" i="13"/>
  <c r="Q102" i="13"/>
  <c r="Q101" i="13"/>
  <c r="Q96" i="13"/>
  <c r="Q95" i="13"/>
  <c r="Q94" i="13"/>
  <c r="Q93" i="13"/>
  <c r="Q92" i="13"/>
  <c r="Q91" i="13"/>
  <c r="Q86" i="13"/>
  <c r="Q85" i="13"/>
  <c r="Q84" i="13"/>
  <c r="Q83" i="13"/>
  <c r="Q82" i="13"/>
  <c r="Q81" i="13"/>
  <c r="Q76" i="13"/>
  <c r="Q75" i="13"/>
  <c r="Q74" i="13"/>
  <c r="Q73" i="13"/>
  <c r="Q72" i="13"/>
  <c r="Q71" i="13"/>
  <c r="Q66" i="13"/>
  <c r="Q65" i="13"/>
  <c r="Q64" i="13"/>
  <c r="Q63" i="13"/>
  <c r="Q62" i="13"/>
  <c r="Q61" i="13"/>
  <c r="Q56" i="13"/>
  <c r="Q55" i="13"/>
  <c r="Q54" i="13"/>
  <c r="Q53" i="13"/>
  <c r="Q52" i="13"/>
  <c r="Q51" i="13"/>
  <c r="Q46" i="13"/>
  <c r="Q45" i="13"/>
  <c r="Q44" i="13"/>
  <c r="Q43" i="13"/>
  <c r="Q42" i="13"/>
  <c r="Q41" i="13"/>
  <c r="Q36" i="13"/>
  <c r="Q35" i="13"/>
  <c r="Q34" i="13"/>
  <c r="Q33" i="13"/>
  <c r="Q32" i="13"/>
  <c r="Q31" i="13"/>
  <c r="Q26" i="13"/>
  <c r="Q25" i="13"/>
  <c r="Q24" i="13"/>
  <c r="Q23" i="13"/>
  <c r="Q22" i="13"/>
  <c r="Q21" i="13"/>
  <c r="Q16" i="13"/>
  <c r="Q15" i="13"/>
  <c r="Q14" i="13"/>
  <c r="Q13" i="13"/>
  <c r="Q12" i="13"/>
  <c r="Q11" i="13"/>
  <c r="Q10" i="13"/>
  <c r="Q9" i="13"/>
  <c r="M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5" i="13"/>
  <c r="P104" i="11"/>
  <c r="N104" i="11"/>
  <c r="Q104" i="11" s="1"/>
  <c r="L104" i="11"/>
  <c r="N103" i="11"/>
  <c r="Q103" i="11" s="1"/>
  <c r="L103" i="11"/>
  <c r="N102" i="11"/>
  <c r="Q102" i="11" s="1"/>
  <c r="L102" i="11"/>
  <c r="N101" i="11"/>
  <c r="Q101" i="11" s="1"/>
  <c r="L101" i="11"/>
  <c r="N100" i="11"/>
  <c r="Q100" i="11" s="1"/>
  <c r="L100" i="11"/>
  <c r="N99" i="11"/>
  <c r="Q99" i="11" s="1"/>
  <c r="L99" i="11"/>
  <c r="N98" i="11"/>
  <c r="Q98" i="11" s="1"/>
  <c r="L98" i="11"/>
  <c r="N97" i="11"/>
  <c r="Q97" i="11" s="1"/>
  <c r="L97" i="11"/>
  <c r="N96" i="11"/>
  <c r="Q96" i="11" s="1"/>
  <c r="L96" i="11"/>
  <c r="N95" i="11"/>
  <c r="Q95" i="11" s="1"/>
  <c r="L95" i="11"/>
  <c r="N94" i="11"/>
  <c r="Q94" i="11" s="1"/>
  <c r="L94" i="11"/>
  <c r="N93" i="11"/>
  <c r="Q93" i="11" s="1"/>
  <c r="L93" i="11"/>
  <c r="N92" i="11"/>
  <c r="Q92" i="11" s="1"/>
  <c r="L92" i="11"/>
  <c r="Q91" i="11"/>
  <c r="N91" i="11"/>
  <c r="L91" i="11"/>
  <c r="N90" i="11"/>
  <c r="Q90" i="11" s="1"/>
  <c r="L90" i="11"/>
  <c r="N89" i="11"/>
  <c r="Q89" i="11" s="1"/>
  <c r="L89" i="11"/>
  <c r="N88" i="11"/>
  <c r="Q88" i="11" s="1"/>
  <c r="L88" i="11"/>
  <c r="N87" i="11"/>
  <c r="Q87" i="11" s="1"/>
  <c r="L87" i="11"/>
  <c r="Q86" i="11"/>
  <c r="N86" i="11"/>
  <c r="L86" i="11"/>
  <c r="N85" i="11"/>
  <c r="Q85" i="11" s="1"/>
  <c r="L85" i="11"/>
  <c r="N84" i="11"/>
  <c r="Q84" i="11" s="1"/>
  <c r="L84" i="11"/>
  <c r="N83" i="11"/>
  <c r="Q83" i="11" s="1"/>
  <c r="L83" i="11"/>
  <c r="N82" i="11"/>
  <c r="Q82" i="11" s="1"/>
  <c r="L82" i="11"/>
  <c r="N81" i="11"/>
  <c r="Q81" i="11" s="1"/>
  <c r="L81" i="11"/>
  <c r="N80" i="11"/>
  <c r="Q80" i="11" s="1"/>
  <c r="L80" i="11"/>
  <c r="N79" i="11"/>
  <c r="Q79" i="11" s="1"/>
  <c r="L79" i="11"/>
  <c r="N78" i="11"/>
  <c r="Q78" i="11" s="1"/>
  <c r="L78" i="11"/>
  <c r="N77" i="11"/>
  <c r="Q77" i="11" s="1"/>
  <c r="L77" i="11"/>
  <c r="N76" i="11"/>
  <c r="Q76" i="11" s="1"/>
  <c r="L76" i="11"/>
  <c r="N75" i="11"/>
  <c r="Q75" i="11" s="1"/>
  <c r="L75" i="11"/>
  <c r="N74" i="11"/>
  <c r="Q74" i="11" s="1"/>
  <c r="L74" i="11"/>
  <c r="N73" i="11"/>
  <c r="Q73" i="11" s="1"/>
  <c r="L73" i="11"/>
  <c r="N72" i="11"/>
  <c r="Q72" i="11" s="1"/>
  <c r="L72" i="11"/>
  <c r="N71" i="11"/>
  <c r="Q71" i="11" s="1"/>
  <c r="L71" i="11"/>
  <c r="N70" i="11"/>
  <c r="Q70" i="11" s="1"/>
  <c r="L70" i="11"/>
  <c r="N69" i="11"/>
  <c r="Q69" i="11" s="1"/>
  <c r="L69" i="11"/>
  <c r="N68" i="11"/>
  <c r="Q68" i="11" s="1"/>
  <c r="L68" i="11"/>
  <c r="N67" i="11"/>
  <c r="Q67" i="11" s="1"/>
  <c r="L67" i="11"/>
  <c r="N66" i="11"/>
  <c r="Q66" i="11" s="1"/>
  <c r="L66" i="11"/>
  <c r="Q65" i="11"/>
  <c r="N65" i="11"/>
  <c r="L65" i="11"/>
  <c r="N64" i="11"/>
  <c r="Q64" i="11" s="1"/>
  <c r="L64" i="11"/>
  <c r="N63" i="11"/>
  <c r="Q63" i="11" s="1"/>
  <c r="L63" i="11"/>
  <c r="N62" i="11"/>
  <c r="Q62" i="11" s="1"/>
  <c r="L62" i="11"/>
  <c r="Q61" i="11"/>
  <c r="N61" i="11"/>
  <c r="L61" i="11"/>
  <c r="N60" i="11"/>
  <c r="Q60" i="11" s="1"/>
  <c r="L60" i="11"/>
  <c r="N59" i="11"/>
  <c r="Q59" i="11" s="1"/>
  <c r="L59" i="11"/>
  <c r="N58" i="11"/>
  <c r="Q58" i="11" s="1"/>
  <c r="L58" i="11"/>
  <c r="N57" i="11"/>
  <c r="Q57" i="11" s="1"/>
  <c r="L57" i="11"/>
  <c r="Q56" i="11"/>
  <c r="N56" i="11"/>
  <c r="L56" i="11"/>
  <c r="N55" i="11"/>
  <c r="Q55" i="11" s="1"/>
  <c r="L55" i="11"/>
  <c r="N54" i="11"/>
  <c r="Q54" i="11" s="1"/>
  <c r="L54" i="11"/>
  <c r="N53" i="11"/>
  <c r="Q53" i="11" s="1"/>
  <c r="L53" i="11"/>
  <c r="N52" i="11"/>
  <c r="Q52" i="11" s="1"/>
  <c r="L52" i="11"/>
  <c r="N51" i="11"/>
  <c r="Q51" i="11" s="1"/>
  <c r="L51" i="11"/>
  <c r="N50" i="11"/>
  <c r="Q50" i="11" s="1"/>
  <c r="L50" i="11"/>
  <c r="N49" i="11"/>
  <c r="Q49" i="11" s="1"/>
  <c r="L49" i="11"/>
  <c r="N48" i="11"/>
  <c r="Q48" i="11" s="1"/>
  <c r="L48" i="11"/>
  <c r="N47" i="11"/>
  <c r="Q47" i="11" s="1"/>
  <c r="L47" i="11"/>
  <c r="N46" i="11"/>
  <c r="Q46" i="11" s="1"/>
  <c r="L46" i="11"/>
  <c r="Q45" i="11"/>
  <c r="N45" i="11"/>
  <c r="L45" i="11"/>
  <c r="N44" i="11"/>
  <c r="Q44" i="11" s="1"/>
  <c r="L44" i="11"/>
  <c r="N43" i="11"/>
  <c r="Q43" i="11" s="1"/>
  <c r="L43" i="11"/>
  <c r="N42" i="11"/>
  <c r="Q42" i="11" s="1"/>
  <c r="L42" i="11"/>
  <c r="N41" i="11"/>
  <c r="Q41" i="11" s="1"/>
  <c r="L41" i="11"/>
  <c r="N40" i="11"/>
  <c r="Q40" i="11" s="1"/>
  <c r="L40" i="11"/>
  <c r="N39" i="11"/>
  <c r="Q39" i="11" s="1"/>
  <c r="L39" i="11"/>
  <c r="N38" i="11"/>
  <c r="Q38" i="11" s="1"/>
  <c r="L38" i="11"/>
  <c r="N37" i="11"/>
  <c r="Q37" i="11" s="1"/>
  <c r="L37" i="11"/>
  <c r="A37" i="11"/>
  <c r="N36" i="11"/>
  <c r="Q36" i="11" s="1"/>
  <c r="L36" i="11"/>
  <c r="A36" i="11"/>
  <c r="Q35" i="11"/>
  <c r="N35" i="11"/>
  <c r="L35" i="11"/>
  <c r="A35" i="11"/>
  <c r="N34" i="11"/>
  <c r="Q34" i="11" s="1"/>
  <c r="L34" i="11"/>
  <c r="A34" i="11"/>
  <c r="N33" i="11"/>
  <c r="Q33" i="11" s="1"/>
  <c r="L33" i="11"/>
  <c r="A33" i="11"/>
  <c r="N32" i="11"/>
  <c r="Q32" i="11" s="1"/>
  <c r="L32" i="11"/>
  <c r="A32" i="11"/>
  <c r="N31" i="11"/>
  <c r="Q31" i="11" s="1"/>
  <c r="L31" i="11"/>
  <c r="A31" i="11"/>
  <c r="N30" i="11"/>
  <c r="Q30" i="11" s="1"/>
  <c r="L30" i="11"/>
  <c r="A30" i="11"/>
  <c r="N29" i="11"/>
  <c r="Q29" i="11" s="1"/>
  <c r="L29" i="11"/>
  <c r="A29" i="11"/>
  <c r="N28" i="11"/>
  <c r="Q28" i="11" s="1"/>
  <c r="L28" i="11"/>
  <c r="A28" i="11"/>
  <c r="N27" i="11"/>
  <c r="Q27" i="11" s="1"/>
  <c r="L27" i="11"/>
  <c r="A27" i="11"/>
  <c r="N26" i="11"/>
  <c r="Q26" i="11" s="1"/>
  <c r="L26" i="11"/>
  <c r="A26" i="11"/>
  <c r="N25" i="11"/>
  <c r="Q25" i="11" s="1"/>
  <c r="L25" i="11"/>
  <c r="A25" i="11"/>
  <c r="N24" i="11"/>
  <c r="Q24" i="11" s="1"/>
  <c r="L24" i="11"/>
  <c r="A24" i="11"/>
  <c r="Q23" i="11"/>
  <c r="N23" i="11"/>
  <c r="L23" i="11"/>
  <c r="A23" i="11"/>
  <c r="N22" i="11"/>
  <c r="Q22" i="11" s="1"/>
  <c r="L22" i="11"/>
  <c r="A22" i="11"/>
  <c r="N21" i="11"/>
  <c r="Q21" i="11" s="1"/>
  <c r="L21" i="11"/>
  <c r="A21" i="11"/>
  <c r="Q20" i="11"/>
  <c r="N20" i="11"/>
  <c r="L20" i="11"/>
  <c r="A20" i="11"/>
  <c r="N19" i="11"/>
  <c r="Q19" i="11" s="1"/>
  <c r="L19" i="11"/>
  <c r="A19" i="11"/>
  <c r="Q18" i="11"/>
  <c r="N18" i="11"/>
  <c r="L18" i="11"/>
  <c r="A18" i="11"/>
  <c r="N17" i="11"/>
  <c r="Q17" i="11" s="1"/>
  <c r="L17" i="11"/>
  <c r="A17" i="11"/>
  <c r="N16" i="11"/>
  <c r="Q16" i="11" s="1"/>
  <c r="L16" i="11"/>
  <c r="A16" i="11"/>
  <c r="Q15" i="11"/>
  <c r="N15" i="11"/>
  <c r="L15" i="11"/>
  <c r="A15" i="11"/>
  <c r="N14" i="11"/>
  <c r="Q14" i="11" s="1"/>
  <c r="L14" i="11"/>
  <c r="A14" i="11"/>
  <c r="N13" i="11"/>
  <c r="Q13" i="11" s="1"/>
  <c r="L13" i="11"/>
  <c r="A13" i="11"/>
  <c r="N12" i="11"/>
  <c r="Q12" i="11" s="1"/>
  <c r="L12" i="11"/>
  <c r="A12" i="11"/>
  <c r="N11" i="11"/>
  <c r="Q11" i="11" s="1"/>
  <c r="L11" i="11"/>
  <c r="A11" i="11"/>
  <c r="N10" i="11"/>
  <c r="Q10" i="11" s="1"/>
  <c r="L10" i="11"/>
  <c r="A10" i="11"/>
  <c r="Q9" i="11"/>
  <c r="L9" i="11"/>
  <c r="A9" i="11"/>
  <c r="L8" i="11"/>
  <c r="A8" i="11"/>
  <c r="L7" i="11"/>
  <c r="A7" i="11"/>
  <c r="L6" i="11"/>
  <c r="A6" i="11"/>
  <c r="O5" i="11"/>
  <c r="L5" i="11"/>
  <c r="A5" i="11"/>
  <c r="M4" i="11"/>
  <c r="Q4" i="11" s="1"/>
  <c r="L62" i="9"/>
  <c r="N62" i="9"/>
  <c r="Q62" i="9"/>
  <c r="L63" i="9"/>
  <c r="N63" i="9"/>
  <c r="Q63" i="9"/>
  <c r="L64" i="9"/>
  <c r="N64" i="9"/>
  <c r="Q64" i="9" s="1"/>
  <c r="L65" i="9"/>
  <c r="N65" i="9"/>
  <c r="Q65" i="9"/>
  <c r="L66" i="9"/>
  <c r="N66" i="9"/>
  <c r="Q66" i="9" s="1"/>
  <c r="L67" i="9"/>
  <c r="N67" i="9"/>
  <c r="Q67" i="9"/>
  <c r="L68" i="9"/>
  <c r="N68" i="9"/>
  <c r="Q68" i="9"/>
  <c r="L69" i="9"/>
  <c r="N69" i="9"/>
  <c r="Q69" i="9" s="1"/>
  <c r="L70" i="9"/>
  <c r="N70" i="9"/>
  <c r="Q70" i="9"/>
  <c r="L71" i="9"/>
  <c r="N71" i="9"/>
  <c r="Q71" i="9" s="1"/>
  <c r="L72" i="9"/>
  <c r="N72" i="9"/>
  <c r="Q72" i="9"/>
  <c r="L73" i="9"/>
  <c r="N73" i="9"/>
  <c r="Q73" i="9"/>
  <c r="L74" i="9"/>
  <c r="N74" i="9"/>
  <c r="Q74" i="9" s="1"/>
  <c r="L75" i="9"/>
  <c r="N75" i="9"/>
  <c r="Q75" i="9"/>
  <c r="L76" i="9"/>
  <c r="N76" i="9"/>
  <c r="Q76" i="9" s="1"/>
  <c r="L77" i="9"/>
  <c r="N77" i="9"/>
  <c r="Q77" i="9"/>
  <c r="L78" i="9"/>
  <c r="N78" i="9"/>
  <c r="Q78" i="9"/>
  <c r="L79" i="9"/>
  <c r="N79" i="9"/>
  <c r="Q79" i="9" s="1"/>
  <c r="L80" i="9"/>
  <c r="N80" i="9"/>
  <c r="Q80" i="9"/>
  <c r="L81" i="9"/>
  <c r="N81" i="9"/>
  <c r="Q81" i="9" s="1"/>
  <c r="L82" i="9"/>
  <c r="N82" i="9"/>
  <c r="Q82" i="9"/>
  <c r="L83" i="9"/>
  <c r="N83" i="9"/>
  <c r="Q83" i="9"/>
  <c r="L84" i="9"/>
  <c r="N84" i="9"/>
  <c r="Q84" i="9" s="1"/>
  <c r="L85" i="9"/>
  <c r="N85" i="9"/>
  <c r="Q85" i="9"/>
  <c r="L86" i="9"/>
  <c r="N86" i="9"/>
  <c r="Q86" i="9" s="1"/>
  <c r="L87" i="9"/>
  <c r="N87" i="9"/>
  <c r="Q87" i="9"/>
  <c r="L88" i="9"/>
  <c r="N88" i="9"/>
  <c r="Q88" i="9" s="1"/>
  <c r="L89" i="9"/>
  <c r="N89" i="9"/>
  <c r="Q89" i="9" s="1"/>
  <c r="L90" i="9"/>
  <c r="N90" i="9"/>
  <c r="Q90" i="9"/>
  <c r="L91" i="9"/>
  <c r="N91" i="9"/>
  <c r="Q91" i="9" s="1"/>
  <c r="L92" i="9"/>
  <c r="N92" i="9"/>
  <c r="Q92" i="9"/>
  <c r="L93" i="9"/>
  <c r="N93" i="9"/>
  <c r="Q93" i="9"/>
  <c r="L94" i="9"/>
  <c r="N94" i="9"/>
  <c r="Q94" i="9" s="1"/>
  <c r="L95" i="9"/>
  <c r="N95" i="9"/>
  <c r="Q95" i="9"/>
  <c r="L96" i="9"/>
  <c r="N96" i="9"/>
  <c r="Q96" i="9" s="1"/>
  <c r="L97" i="9"/>
  <c r="N97" i="9"/>
  <c r="Q97" i="9"/>
  <c r="L98" i="9"/>
  <c r="N98" i="9"/>
  <c r="Q98" i="9"/>
  <c r="L99" i="9"/>
  <c r="N99" i="9"/>
  <c r="Q99" i="9" s="1"/>
  <c r="L100" i="9"/>
  <c r="N100" i="9"/>
  <c r="Q100" i="9"/>
  <c r="L101" i="9"/>
  <c r="N101" i="9"/>
  <c r="Q101" i="9" s="1"/>
  <c r="L102" i="9"/>
  <c r="N102" i="9"/>
  <c r="Q102" i="9"/>
  <c r="L103" i="9"/>
  <c r="N103" i="9"/>
  <c r="Q103" i="9"/>
  <c r="L104" i="9"/>
  <c r="N104" i="9"/>
  <c r="Q104" i="9" s="1"/>
  <c r="P104" i="9"/>
  <c r="A33" i="9"/>
  <c r="A34" i="9"/>
  <c r="A35" i="9"/>
  <c r="A36" i="9"/>
  <c r="A37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5" i="9"/>
  <c r="P104" i="6"/>
  <c r="Q104" i="6"/>
  <c r="L61" i="6"/>
  <c r="N61" i="6"/>
  <c r="Q61" i="6"/>
  <c r="L62" i="6"/>
  <c r="N62" i="6"/>
  <c r="Q62" i="6" s="1"/>
  <c r="L63" i="6"/>
  <c r="N63" i="6"/>
  <c r="Q63" i="6" s="1"/>
  <c r="L64" i="6"/>
  <c r="N64" i="6"/>
  <c r="Q64" i="6"/>
  <c r="L65" i="6"/>
  <c r="N65" i="6"/>
  <c r="Q65" i="6"/>
  <c r="L66" i="6"/>
  <c r="N66" i="6"/>
  <c r="Q66" i="6"/>
  <c r="L67" i="6"/>
  <c r="N67" i="6"/>
  <c r="Q67" i="6" s="1"/>
  <c r="L68" i="6"/>
  <c r="N68" i="6"/>
  <c r="Q68" i="6"/>
  <c r="L69" i="6"/>
  <c r="N69" i="6"/>
  <c r="Q69" i="6"/>
  <c r="L70" i="6"/>
  <c r="N70" i="6"/>
  <c r="Q70" i="6"/>
  <c r="L71" i="6"/>
  <c r="N71" i="6"/>
  <c r="Q71" i="6"/>
  <c r="L72" i="6"/>
  <c r="N72" i="6"/>
  <c r="Q72" i="6"/>
  <c r="L73" i="6"/>
  <c r="N73" i="6"/>
  <c r="Q73" i="6" s="1"/>
  <c r="L74" i="6"/>
  <c r="N74" i="6"/>
  <c r="Q74" i="6"/>
  <c r="L75" i="6"/>
  <c r="N75" i="6"/>
  <c r="Q75" i="6"/>
  <c r="L76" i="6"/>
  <c r="N76" i="6"/>
  <c r="Q76" i="6"/>
  <c r="L77" i="6"/>
  <c r="N77" i="6"/>
  <c r="Q77" i="6" s="1"/>
  <c r="L78" i="6"/>
  <c r="N78" i="6"/>
  <c r="Q78" i="6"/>
  <c r="L79" i="6"/>
  <c r="N79" i="6"/>
  <c r="Q79" i="6"/>
  <c r="L80" i="6"/>
  <c r="N80" i="6"/>
  <c r="Q80" i="6"/>
  <c r="L81" i="6"/>
  <c r="N81" i="6"/>
  <c r="Q81" i="6"/>
  <c r="L82" i="6"/>
  <c r="N82" i="6"/>
  <c r="Q82" i="6"/>
  <c r="L83" i="6"/>
  <c r="N83" i="6"/>
  <c r="Q83" i="6" s="1"/>
  <c r="L84" i="6"/>
  <c r="N84" i="6"/>
  <c r="Q84" i="6"/>
  <c r="L85" i="6"/>
  <c r="N85" i="6"/>
  <c r="Q85" i="6"/>
  <c r="L86" i="6"/>
  <c r="N86" i="6"/>
  <c r="Q86" i="6"/>
  <c r="L87" i="6"/>
  <c r="N87" i="6"/>
  <c r="Q87" i="6" s="1"/>
  <c r="L88" i="6"/>
  <c r="N88" i="6"/>
  <c r="Q88" i="6"/>
  <c r="L89" i="6"/>
  <c r="N89" i="6"/>
  <c r="Q89" i="6"/>
  <c r="L90" i="6"/>
  <c r="N90" i="6"/>
  <c r="Q90" i="6"/>
  <c r="L91" i="6"/>
  <c r="N91" i="6"/>
  <c r="Q91" i="6"/>
  <c r="L92" i="6"/>
  <c r="N92" i="6"/>
  <c r="Q92" i="6"/>
  <c r="L93" i="6"/>
  <c r="N93" i="6"/>
  <c r="Q93" i="6" s="1"/>
  <c r="L94" i="6"/>
  <c r="N94" i="6"/>
  <c r="Q94" i="6"/>
  <c r="L95" i="6"/>
  <c r="N95" i="6"/>
  <c r="Q95" i="6"/>
  <c r="L96" i="6"/>
  <c r="N96" i="6"/>
  <c r="Q96" i="6"/>
  <c r="L97" i="6"/>
  <c r="N97" i="6"/>
  <c r="Q97" i="6" s="1"/>
  <c r="L98" i="6"/>
  <c r="N98" i="6"/>
  <c r="Q98" i="6"/>
  <c r="L99" i="6"/>
  <c r="N99" i="6"/>
  <c r="Q99" i="6"/>
  <c r="L100" i="6"/>
  <c r="N100" i="6"/>
  <c r="Q100" i="6"/>
  <c r="L101" i="6"/>
  <c r="N101" i="6"/>
  <c r="Q101" i="6"/>
  <c r="L102" i="6"/>
  <c r="N102" i="6"/>
  <c r="Q102" i="6"/>
  <c r="L103" i="6"/>
  <c r="N103" i="6"/>
  <c r="Q103" i="6" s="1"/>
  <c r="L104" i="6"/>
  <c r="N104" i="6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5" i="7"/>
  <c r="A37" i="6"/>
  <c r="A32" i="6"/>
  <c r="A33" i="6"/>
  <c r="A34" i="6"/>
  <c r="A35" i="6"/>
  <c r="A36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5" i="6"/>
  <c r="L62" i="7"/>
  <c r="N62" i="7"/>
  <c r="Q62" i="7"/>
  <c r="L63" i="7"/>
  <c r="N63" i="7"/>
  <c r="Q63" i="7" s="1"/>
  <c r="L64" i="7"/>
  <c r="N64" i="7"/>
  <c r="Q64" i="7" s="1"/>
  <c r="L65" i="7"/>
  <c r="N65" i="7"/>
  <c r="Q65" i="7"/>
  <c r="L66" i="7"/>
  <c r="N66" i="7"/>
  <c r="Q66" i="7" s="1"/>
  <c r="L67" i="7"/>
  <c r="N67" i="7"/>
  <c r="Q67" i="7"/>
  <c r="L68" i="7"/>
  <c r="N68" i="7"/>
  <c r="Q68" i="7"/>
  <c r="L69" i="7"/>
  <c r="N69" i="7"/>
  <c r="Q69" i="7" s="1"/>
  <c r="L70" i="7"/>
  <c r="N70" i="7"/>
  <c r="Q70" i="7"/>
  <c r="L71" i="7"/>
  <c r="N71" i="7"/>
  <c r="Q71" i="7" s="1"/>
  <c r="L72" i="7"/>
  <c r="N72" i="7"/>
  <c r="Q72" i="7"/>
  <c r="L73" i="7"/>
  <c r="N73" i="7"/>
  <c r="Q73" i="7"/>
  <c r="L74" i="7"/>
  <c r="N74" i="7"/>
  <c r="Q74" i="7" s="1"/>
  <c r="L75" i="7"/>
  <c r="N75" i="7"/>
  <c r="Q75" i="7"/>
  <c r="L76" i="7"/>
  <c r="N76" i="7"/>
  <c r="Q76" i="7" s="1"/>
  <c r="L77" i="7"/>
  <c r="N77" i="7"/>
  <c r="Q77" i="7"/>
  <c r="L78" i="7"/>
  <c r="N78" i="7"/>
  <c r="Q78" i="7"/>
  <c r="L79" i="7"/>
  <c r="N79" i="7"/>
  <c r="Q79" i="7" s="1"/>
  <c r="L80" i="7"/>
  <c r="N80" i="7"/>
  <c r="Q80" i="7"/>
  <c r="L81" i="7"/>
  <c r="N81" i="7"/>
  <c r="Q81" i="7" s="1"/>
  <c r="L82" i="7"/>
  <c r="N82" i="7"/>
  <c r="Q82" i="7"/>
  <c r="L83" i="7"/>
  <c r="N83" i="7"/>
  <c r="Q83" i="7"/>
  <c r="L84" i="7"/>
  <c r="N84" i="7"/>
  <c r="Q84" i="7" s="1"/>
  <c r="L85" i="7"/>
  <c r="N85" i="7"/>
  <c r="Q85" i="7"/>
  <c r="L86" i="7"/>
  <c r="N86" i="7"/>
  <c r="Q86" i="7" s="1"/>
  <c r="L87" i="7"/>
  <c r="N87" i="7"/>
  <c r="Q87" i="7"/>
  <c r="L88" i="7"/>
  <c r="N88" i="7"/>
  <c r="Q88" i="7"/>
  <c r="L89" i="7"/>
  <c r="N89" i="7"/>
  <c r="Q89" i="7" s="1"/>
  <c r="L90" i="7"/>
  <c r="N90" i="7"/>
  <c r="Q90" i="7"/>
  <c r="L91" i="7"/>
  <c r="N91" i="7"/>
  <c r="Q91" i="7" s="1"/>
  <c r="L92" i="7"/>
  <c r="N92" i="7"/>
  <c r="Q92" i="7"/>
  <c r="L93" i="7"/>
  <c r="N93" i="7"/>
  <c r="Q93" i="7"/>
  <c r="L94" i="7"/>
  <c r="N94" i="7"/>
  <c r="Q94" i="7" s="1"/>
  <c r="P94" i="7"/>
  <c r="Q5" i="9"/>
  <c r="Q105" i="9" s="1"/>
  <c r="Q9" i="9"/>
  <c r="Q12" i="9"/>
  <c r="Q13" i="9"/>
  <c r="Q14" i="9"/>
  <c r="Q16" i="9"/>
  <c r="Q18" i="9"/>
  <c r="Q23" i="9"/>
  <c r="Q24" i="9"/>
  <c r="Q26" i="9"/>
  <c r="Q28" i="9"/>
  <c r="Q33" i="9"/>
  <c r="Q34" i="9"/>
  <c r="Q36" i="9"/>
  <c r="Q38" i="9"/>
  <c r="Q43" i="9"/>
  <c r="Q44" i="9"/>
  <c r="Q46" i="9"/>
  <c r="Q48" i="9"/>
  <c r="Q50" i="9"/>
  <c r="Q51" i="9"/>
  <c r="Q52" i="9"/>
  <c r="Q54" i="9"/>
  <c r="Q58" i="9"/>
  <c r="Q59" i="9"/>
  <c r="Q60" i="9"/>
  <c r="O5" i="9"/>
  <c r="Q9" i="7"/>
  <c r="Q53" i="7"/>
  <c r="Q54" i="7"/>
  <c r="Q56" i="7"/>
  <c r="Q57" i="7"/>
  <c r="Q58" i="7"/>
  <c r="O5" i="7"/>
  <c r="Q5" i="6"/>
  <c r="Q105" i="6" s="1"/>
  <c r="Q6" i="6"/>
  <c r="Q9" i="6"/>
  <c r="Q15" i="6"/>
  <c r="Q16" i="6"/>
  <c r="Q18" i="6"/>
  <c r="Q24" i="6"/>
  <c r="Q25" i="6"/>
  <c r="Q26" i="6"/>
  <c r="Q28" i="6"/>
  <c r="Q35" i="6"/>
  <c r="Q36" i="6"/>
  <c r="Q38" i="6"/>
  <c r="Q45" i="6"/>
  <c r="Q46" i="6"/>
  <c r="Q48" i="6"/>
  <c r="Q51" i="6"/>
  <c r="Q54" i="6"/>
  <c r="Q55" i="6"/>
  <c r="Q56" i="6"/>
  <c r="Q58" i="6"/>
  <c r="O5" i="6"/>
  <c r="Q61" i="9"/>
  <c r="N61" i="9"/>
  <c r="L61" i="9"/>
  <c r="N60" i="9"/>
  <c r="L60" i="9"/>
  <c r="N59" i="9"/>
  <c r="L59" i="9"/>
  <c r="N58" i="9"/>
  <c r="L58" i="9"/>
  <c r="N57" i="9"/>
  <c r="Q57" i="9" s="1"/>
  <c r="L57" i="9"/>
  <c r="N56" i="9"/>
  <c r="Q56" i="9" s="1"/>
  <c r="L56" i="9"/>
  <c r="N55" i="9"/>
  <c r="Q55" i="9" s="1"/>
  <c r="L55" i="9"/>
  <c r="N54" i="9"/>
  <c r="L54" i="9"/>
  <c r="N53" i="9"/>
  <c r="Q53" i="9" s="1"/>
  <c r="L53" i="9"/>
  <c r="N52" i="9"/>
  <c r="L52" i="9"/>
  <c r="N51" i="9"/>
  <c r="L51" i="9"/>
  <c r="N50" i="9"/>
  <c r="L50" i="9"/>
  <c r="N49" i="9"/>
  <c r="Q49" i="9" s="1"/>
  <c r="L49" i="9"/>
  <c r="N48" i="9"/>
  <c r="L48" i="9"/>
  <c r="N47" i="9"/>
  <c r="Q47" i="9" s="1"/>
  <c r="L47" i="9"/>
  <c r="N46" i="9"/>
  <c r="L46" i="9"/>
  <c r="N45" i="9"/>
  <c r="Q45" i="9" s="1"/>
  <c r="L45" i="9"/>
  <c r="N44" i="9"/>
  <c r="L44" i="9"/>
  <c r="N43" i="9"/>
  <c r="L43" i="9"/>
  <c r="N42" i="9"/>
  <c r="Q42" i="9" s="1"/>
  <c r="L42" i="9"/>
  <c r="N41" i="9"/>
  <c r="Q41" i="9" s="1"/>
  <c r="L41" i="9"/>
  <c r="N40" i="9"/>
  <c r="Q40" i="9" s="1"/>
  <c r="L40" i="9"/>
  <c r="N39" i="9"/>
  <c r="Q39" i="9" s="1"/>
  <c r="L39" i="9"/>
  <c r="N38" i="9"/>
  <c r="L38" i="9"/>
  <c r="N37" i="9"/>
  <c r="Q37" i="9" s="1"/>
  <c r="L37" i="9"/>
  <c r="N36" i="9"/>
  <c r="L36" i="9"/>
  <c r="N35" i="9"/>
  <c r="Q35" i="9" s="1"/>
  <c r="L35" i="9"/>
  <c r="N34" i="9"/>
  <c r="L34" i="9"/>
  <c r="N33" i="9"/>
  <c r="L33" i="9"/>
  <c r="N32" i="9"/>
  <c r="Q32" i="9" s="1"/>
  <c r="L32" i="9"/>
  <c r="N31" i="9"/>
  <c r="Q31" i="9" s="1"/>
  <c r="L31" i="9"/>
  <c r="N30" i="9"/>
  <c r="Q30" i="9" s="1"/>
  <c r="L30" i="9"/>
  <c r="N29" i="9"/>
  <c r="Q29" i="9" s="1"/>
  <c r="L29" i="9"/>
  <c r="N28" i="9"/>
  <c r="L28" i="9"/>
  <c r="N27" i="9"/>
  <c r="Q27" i="9" s="1"/>
  <c r="L27" i="9"/>
  <c r="N26" i="9"/>
  <c r="L26" i="9"/>
  <c r="N25" i="9"/>
  <c r="Q25" i="9" s="1"/>
  <c r="L25" i="9"/>
  <c r="N24" i="9"/>
  <c r="L24" i="9"/>
  <c r="N23" i="9"/>
  <c r="L23" i="9"/>
  <c r="N22" i="9"/>
  <c r="Q22" i="9" s="1"/>
  <c r="L22" i="9"/>
  <c r="N21" i="9"/>
  <c r="Q21" i="9" s="1"/>
  <c r="L21" i="9"/>
  <c r="N20" i="9"/>
  <c r="Q20" i="9" s="1"/>
  <c r="L20" i="9"/>
  <c r="N19" i="9"/>
  <c r="Q19" i="9" s="1"/>
  <c r="L19" i="9"/>
  <c r="N18" i="9"/>
  <c r="L18" i="9"/>
  <c r="N17" i="9"/>
  <c r="Q17" i="9" s="1"/>
  <c r="L17" i="9"/>
  <c r="N16" i="9"/>
  <c r="L16" i="9"/>
  <c r="N15" i="9"/>
  <c r="Q15" i="9" s="1"/>
  <c r="L15" i="9"/>
  <c r="N14" i="9"/>
  <c r="L14" i="9"/>
  <c r="N13" i="9"/>
  <c r="L13" i="9"/>
  <c r="N12" i="9"/>
  <c r="L12" i="9"/>
  <c r="N11" i="9"/>
  <c r="Q11" i="9" s="1"/>
  <c r="L11" i="9"/>
  <c r="N10" i="9"/>
  <c r="Q10" i="9" s="1"/>
  <c r="L10" i="9"/>
  <c r="L9" i="9"/>
  <c r="L8" i="9"/>
  <c r="L7" i="9"/>
  <c r="L6" i="9"/>
  <c r="L5" i="9"/>
  <c r="M4" i="9"/>
  <c r="M5" i="9" s="1"/>
  <c r="N61" i="7"/>
  <c r="Q61" i="7" s="1"/>
  <c r="L61" i="7"/>
  <c r="N60" i="7"/>
  <c r="Q60" i="7" s="1"/>
  <c r="L60" i="7"/>
  <c r="N59" i="7"/>
  <c r="Q59" i="7" s="1"/>
  <c r="L59" i="7"/>
  <c r="N58" i="7"/>
  <c r="L58" i="7"/>
  <c r="N57" i="7"/>
  <c r="L57" i="7"/>
  <c r="N56" i="7"/>
  <c r="L56" i="7"/>
  <c r="N55" i="7"/>
  <c r="Q55" i="7" s="1"/>
  <c r="L55" i="7"/>
  <c r="N54" i="7"/>
  <c r="L54" i="7"/>
  <c r="N53" i="7"/>
  <c r="L53" i="7"/>
  <c r="N52" i="7"/>
  <c r="Q52" i="7" s="1"/>
  <c r="L52" i="7"/>
  <c r="N51" i="7"/>
  <c r="Q51" i="7" s="1"/>
  <c r="L51" i="7"/>
  <c r="N50" i="7"/>
  <c r="Q50" i="7" s="1"/>
  <c r="L50" i="7"/>
  <c r="N49" i="7"/>
  <c r="Q49" i="7" s="1"/>
  <c r="L49" i="7"/>
  <c r="N48" i="7"/>
  <c r="Q48" i="7" s="1"/>
  <c r="L48" i="7"/>
  <c r="N47" i="7"/>
  <c r="Q47" i="7" s="1"/>
  <c r="L47" i="7"/>
  <c r="N46" i="7"/>
  <c r="Q46" i="7" s="1"/>
  <c r="L46" i="7"/>
  <c r="N45" i="7"/>
  <c r="Q45" i="7" s="1"/>
  <c r="L45" i="7"/>
  <c r="N44" i="7"/>
  <c r="Q44" i="7" s="1"/>
  <c r="L44" i="7"/>
  <c r="N43" i="7"/>
  <c r="Q43" i="7" s="1"/>
  <c r="L43" i="7"/>
  <c r="N42" i="7"/>
  <c r="Q42" i="7" s="1"/>
  <c r="L42" i="7"/>
  <c r="N41" i="7"/>
  <c r="Q41" i="7" s="1"/>
  <c r="L41" i="7"/>
  <c r="N40" i="7"/>
  <c r="Q40" i="7" s="1"/>
  <c r="L40" i="7"/>
  <c r="N39" i="7"/>
  <c r="Q39" i="7" s="1"/>
  <c r="L39" i="7"/>
  <c r="N38" i="7"/>
  <c r="Q38" i="7" s="1"/>
  <c r="L38" i="7"/>
  <c r="N37" i="7"/>
  <c r="Q37" i="7" s="1"/>
  <c r="L37" i="7"/>
  <c r="N36" i="7"/>
  <c r="Q36" i="7" s="1"/>
  <c r="L36" i="7"/>
  <c r="N35" i="7"/>
  <c r="Q35" i="7" s="1"/>
  <c r="L35" i="7"/>
  <c r="N34" i="7"/>
  <c r="Q34" i="7" s="1"/>
  <c r="L34" i="7"/>
  <c r="N33" i="7"/>
  <c r="Q33" i="7" s="1"/>
  <c r="L33" i="7"/>
  <c r="N32" i="7"/>
  <c r="Q32" i="7" s="1"/>
  <c r="L32" i="7"/>
  <c r="N31" i="7"/>
  <c r="Q31" i="7" s="1"/>
  <c r="L31" i="7"/>
  <c r="N30" i="7"/>
  <c r="Q30" i="7" s="1"/>
  <c r="L30" i="7"/>
  <c r="N29" i="7"/>
  <c r="Q29" i="7" s="1"/>
  <c r="L29" i="7"/>
  <c r="N28" i="7"/>
  <c r="Q28" i="7" s="1"/>
  <c r="L28" i="7"/>
  <c r="N27" i="7"/>
  <c r="Q27" i="7" s="1"/>
  <c r="L27" i="7"/>
  <c r="N26" i="7"/>
  <c r="Q26" i="7" s="1"/>
  <c r="L26" i="7"/>
  <c r="N25" i="7"/>
  <c r="Q25" i="7" s="1"/>
  <c r="L25" i="7"/>
  <c r="N24" i="7"/>
  <c r="Q24" i="7" s="1"/>
  <c r="L24" i="7"/>
  <c r="N23" i="7"/>
  <c r="Q23" i="7" s="1"/>
  <c r="L23" i="7"/>
  <c r="N22" i="7"/>
  <c r="Q22" i="7" s="1"/>
  <c r="L22" i="7"/>
  <c r="N21" i="7"/>
  <c r="Q21" i="7" s="1"/>
  <c r="L21" i="7"/>
  <c r="N20" i="7"/>
  <c r="Q20" i="7" s="1"/>
  <c r="L20" i="7"/>
  <c r="N19" i="7"/>
  <c r="Q19" i="7" s="1"/>
  <c r="L19" i="7"/>
  <c r="N18" i="7"/>
  <c r="Q18" i="7" s="1"/>
  <c r="L18" i="7"/>
  <c r="N17" i="7"/>
  <c r="Q17" i="7" s="1"/>
  <c r="L17" i="7"/>
  <c r="N16" i="7"/>
  <c r="Q16" i="7" s="1"/>
  <c r="L16" i="7"/>
  <c r="N15" i="7"/>
  <c r="Q15" i="7" s="1"/>
  <c r="L15" i="7"/>
  <c r="N14" i="7"/>
  <c r="Q14" i="7" s="1"/>
  <c r="L14" i="7"/>
  <c r="N13" i="7"/>
  <c r="Q13" i="7" s="1"/>
  <c r="L13" i="7"/>
  <c r="N12" i="7"/>
  <c r="Q12" i="7" s="1"/>
  <c r="L12" i="7"/>
  <c r="N11" i="7"/>
  <c r="Q11" i="7" s="1"/>
  <c r="L11" i="7"/>
  <c r="N10" i="7"/>
  <c r="Q10" i="7" s="1"/>
  <c r="L10" i="7"/>
  <c r="L9" i="7"/>
  <c r="L8" i="7"/>
  <c r="L7" i="7"/>
  <c r="L6" i="7"/>
  <c r="L5" i="7"/>
  <c r="M4" i="7"/>
  <c r="M5" i="7" s="1"/>
  <c r="N10" i="6"/>
  <c r="Q10" i="6" s="1"/>
  <c r="N11" i="6"/>
  <c r="Q11" i="6" s="1"/>
  <c r="N12" i="6"/>
  <c r="Q12" i="6" s="1"/>
  <c r="M4" i="6"/>
  <c r="Q4" i="6" s="1"/>
  <c r="N60" i="6"/>
  <c r="Q60" i="6" s="1"/>
  <c r="L60" i="6"/>
  <c r="N59" i="6"/>
  <c r="Q59" i="6" s="1"/>
  <c r="L59" i="6"/>
  <c r="N58" i="6"/>
  <c r="L58" i="6"/>
  <c r="N57" i="6"/>
  <c r="Q57" i="6" s="1"/>
  <c r="L57" i="6"/>
  <c r="N56" i="6"/>
  <c r="L56" i="6"/>
  <c r="N55" i="6"/>
  <c r="L55" i="6"/>
  <c r="N54" i="6"/>
  <c r="L54" i="6"/>
  <c r="N53" i="6"/>
  <c r="Q53" i="6" s="1"/>
  <c r="L53" i="6"/>
  <c r="N52" i="6"/>
  <c r="Q52" i="6" s="1"/>
  <c r="L52" i="6"/>
  <c r="N51" i="6"/>
  <c r="L51" i="6"/>
  <c r="N50" i="6"/>
  <c r="Q50" i="6" s="1"/>
  <c r="L50" i="6"/>
  <c r="N49" i="6"/>
  <c r="Q49" i="6" s="1"/>
  <c r="L49" i="6"/>
  <c r="N48" i="6"/>
  <c r="L48" i="6"/>
  <c r="N47" i="6"/>
  <c r="Q47" i="6" s="1"/>
  <c r="L47" i="6"/>
  <c r="N46" i="6"/>
  <c r="L46" i="6"/>
  <c r="N45" i="6"/>
  <c r="L45" i="6"/>
  <c r="N44" i="6"/>
  <c r="Q44" i="6" s="1"/>
  <c r="L44" i="6"/>
  <c r="N43" i="6"/>
  <c r="Q43" i="6" s="1"/>
  <c r="L43" i="6"/>
  <c r="N42" i="6"/>
  <c r="Q42" i="6" s="1"/>
  <c r="L42" i="6"/>
  <c r="N41" i="6"/>
  <c r="Q41" i="6" s="1"/>
  <c r="L41" i="6"/>
  <c r="N40" i="6"/>
  <c r="Q40" i="6" s="1"/>
  <c r="L40" i="6"/>
  <c r="N39" i="6"/>
  <c r="Q39" i="6" s="1"/>
  <c r="L39" i="6"/>
  <c r="N38" i="6"/>
  <c r="L38" i="6"/>
  <c r="N37" i="6"/>
  <c r="Q37" i="6" s="1"/>
  <c r="L37" i="6"/>
  <c r="N36" i="6"/>
  <c r="L36" i="6"/>
  <c r="N35" i="6"/>
  <c r="L35" i="6"/>
  <c r="N34" i="6"/>
  <c r="Q34" i="6" s="1"/>
  <c r="L34" i="6"/>
  <c r="N33" i="6"/>
  <c r="Q33" i="6" s="1"/>
  <c r="L33" i="6"/>
  <c r="N32" i="6"/>
  <c r="Q32" i="6" s="1"/>
  <c r="L32" i="6"/>
  <c r="N31" i="6"/>
  <c r="Q31" i="6" s="1"/>
  <c r="L31" i="6"/>
  <c r="N30" i="6"/>
  <c r="Q30" i="6" s="1"/>
  <c r="L30" i="6"/>
  <c r="N29" i="6"/>
  <c r="Q29" i="6" s="1"/>
  <c r="L29" i="6"/>
  <c r="N28" i="6"/>
  <c r="L28" i="6"/>
  <c r="N27" i="6"/>
  <c r="Q27" i="6" s="1"/>
  <c r="L27" i="6"/>
  <c r="N26" i="6"/>
  <c r="L26" i="6"/>
  <c r="N25" i="6"/>
  <c r="L25" i="6"/>
  <c r="N24" i="6"/>
  <c r="L24" i="6"/>
  <c r="N23" i="6"/>
  <c r="Q23" i="6" s="1"/>
  <c r="L23" i="6"/>
  <c r="N22" i="6"/>
  <c r="Q22" i="6" s="1"/>
  <c r="L22" i="6"/>
  <c r="N21" i="6"/>
  <c r="Q21" i="6" s="1"/>
  <c r="L21" i="6"/>
  <c r="N20" i="6"/>
  <c r="Q20" i="6" s="1"/>
  <c r="L20" i="6"/>
  <c r="N19" i="6"/>
  <c r="Q19" i="6" s="1"/>
  <c r="L19" i="6"/>
  <c r="N18" i="6"/>
  <c r="L18" i="6"/>
  <c r="N17" i="6"/>
  <c r="Q17" i="6" s="1"/>
  <c r="L17" i="6"/>
  <c r="N16" i="6"/>
  <c r="L16" i="6"/>
  <c r="N15" i="6"/>
  <c r="L15" i="6"/>
  <c r="N14" i="6"/>
  <c r="Q14" i="6" s="1"/>
  <c r="L14" i="6"/>
  <c r="N13" i="6"/>
  <c r="Q13" i="6" s="1"/>
  <c r="L13" i="6"/>
  <c r="L12" i="6"/>
  <c r="L11" i="6"/>
  <c r="L10" i="6"/>
  <c r="L9" i="6"/>
  <c r="L8" i="6"/>
  <c r="L7" i="6"/>
  <c r="L6" i="6"/>
  <c r="M5" i="6"/>
  <c r="M6" i="6" s="1"/>
  <c r="L5" i="6"/>
  <c r="M6" i="13" l="1"/>
  <c r="Q5" i="13"/>
  <c r="Q4" i="13"/>
  <c r="Q5" i="7"/>
  <c r="Q95" i="7" s="1"/>
  <c r="M5" i="11"/>
  <c r="Q4" i="9"/>
  <c r="Q4" i="7"/>
  <c r="M6" i="9"/>
  <c r="Q6" i="9" s="1"/>
  <c r="M6" i="7"/>
  <c r="Q6" i="7" s="1"/>
  <c r="M7" i="6"/>
  <c r="Q7" i="6" s="1"/>
  <c r="Q6" i="13" l="1"/>
  <c r="M7" i="13"/>
  <c r="Q5" i="11"/>
  <c r="M6" i="11"/>
  <c r="M7" i="9"/>
  <c r="Q7" i="9" s="1"/>
  <c r="M7" i="7"/>
  <c r="Q7" i="7" s="1"/>
  <c r="M8" i="6"/>
  <c r="Q8" i="6" s="1"/>
  <c r="M8" i="13" l="1"/>
  <c r="Q8" i="13" s="1"/>
  <c r="Q7" i="13"/>
  <c r="Q105" i="13" s="1"/>
  <c r="Q6" i="11"/>
  <c r="M7" i="11"/>
  <c r="M8" i="9"/>
  <c r="Q8" i="9" s="1"/>
  <c r="M8" i="7"/>
  <c r="Q8" i="7" s="1"/>
  <c r="Q7" i="11" l="1"/>
  <c r="M8" i="11"/>
  <c r="Q8" i="11" s="1"/>
  <c r="Q105" i="11" l="1"/>
</calcChain>
</file>

<file path=xl/sharedStrings.xml><?xml version="1.0" encoding="utf-8"?>
<sst xmlns="http://schemas.openxmlformats.org/spreadsheetml/2006/main" count="129" uniqueCount="32">
  <si>
    <t>保费投入</t>
  </si>
  <si>
    <t>提取金额</t>
  </si>
  <si>
    <t>退保现金价值</t>
  </si>
  <si>
    <t>现金流</t>
  </si>
  <si>
    <t>IRR=</t>
  </si>
  <si>
    <t>保单年度</t>
  </si>
  <si>
    <r>
      <rPr>
        <sz val="9"/>
        <rFont val="Microsoft JhengHei"/>
        <family val="2"/>
      </rPr>
      <t>年龄</t>
    </r>
  </si>
  <si>
    <r>
      <rPr>
        <sz val="9"/>
        <rFont val="Microsoft JhengHei"/>
        <family val="2"/>
      </rPr>
      <t>保单年度终结</t>
    </r>
  </si>
  <si>
    <r>
      <rPr>
        <sz val="9"/>
        <rFont val="Microsoft JhengHei"/>
        <family val="2"/>
      </rPr>
      <t>缴付保费总额</t>
    </r>
  </si>
  <si>
    <r>
      <rPr>
        <sz val="9"/>
        <rFont val="Microsoft JhengHei"/>
        <family val="2"/>
      </rPr>
      <t>退保发还金额</t>
    </r>
  </si>
  <si>
    <r>
      <rPr>
        <sz val="9"/>
        <rFont val="Microsoft JhengHei"/>
        <family val="2"/>
      </rPr>
      <t>身故赔偿额</t>
    </r>
  </si>
  <si>
    <r>
      <rPr>
        <sz val="9"/>
        <rFont val="Microsoft JhengHei"/>
        <family val="2"/>
      </rPr>
      <t>保证金额</t>
    </r>
  </si>
  <si>
    <r>
      <rPr>
        <sz val="9"/>
        <rFont val="Microsoft JhengHei"/>
        <family val="2"/>
      </rPr>
      <t>非保证金额</t>
    </r>
  </si>
  <si>
    <r>
      <rPr>
        <sz val="9"/>
        <rFont val="Microsoft JhengHei"/>
        <family val="2"/>
      </rPr>
      <t>总额 (A)+(B)+(C)</t>
    </r>
  </si>
  <si>
    <r>
      <rPr>
        <sz val="9"/>
        <rFont val="Microsoft JhengHei"/>
        <family val="2"/>
      </rPr>
      <t>保证金额* (D)</t>
    </r>
  </si>
  <si>
    <r>
      <rPr>
        <sz val="9"/>
        <rFont val="Microsoft JhengHei"/>
        <family val="2"/>
      </rPr>
      <t xml:space="preserve">总额 (A)+(E)+(F) =
</t>
    </r>
    <r>
      <rPr>
        <sz val="9"/>
        <rFont val="Microsoft JhengHei"/>
        <family val="2"/>
      </rPr>
      <t>(G)</t>
    </r>
  </si>
  <si>
    <r>
      <rPr>
        <sz val="9"/>
        <rFont val="Microsoft JhengHei"/>
        <family val="2"/>
      </rPr>
      <t xml:space="preserve">总赔偿金额 (D 或 G)
</t>
    </r>
    <r>
      <rPr>
        <sz val="9"/>
        <rFont val="Microsoft JhengHei"/>
        <family val="2"/>
      </rPr>
      <t>之较高者</t>
    </r>
  </si>
  <si>
    <r>
      <rPr>
        <sz val="9"/>
        <rFont val="Microsoft JhengHei"/>
        <family val="2"/>
      </rPr>
      <t xml:space="preserve">保证现金价值
</t>
    </r>
    <r>
      <rPr>
        <sz val="9"/>
        <rFont val="Microsoft JhengHei"/>
        <family val="2"/>
      </rPr>
      <t>(A)</t>
    </r>
  </si>
  <si>
    <r>
      <rPr>
        <sz val="9"/>
        <rFont val="Microsoft JhengHei"/>
        <family val="2"/>
      </rPr>
      <t xml:space="preserve">复归红利
</t>
    </r>
    <r>
      <rPr>
        <sz val="9"/>
        <rFont val="Microsoft JhengHei"/>
        <family val="2"/>
      </rPr>
      <t>(B)</t>
    </r>
  </si>
  <si>
    <r>
      <rPr>
        <sz val="9"/>
        <rFont val="Microsoft JhengHei"/>
        <family val="2"/>
      </rPr>
      <t xml:space="preserve">终期分红
</t>
    </r>
    <r>
      <rPr>
        <sz val="9"/>
        <rFont val="Microsoft JhengHei"/>
        <family val="2"/>
      </rPr>
      <t>(C)</t>
    </r>
  </si>
  <si>
    <r>
      <rPr>
        <sz val="9"/>
        <rFont val="Microsoft JhengHei"/>
        <family val="2"/>
      </rPr>
      <t xml:space="preserve">复归红利
</t>
    </r>
    <r>
      <rPr>
        <sz val="9"/>
        <rFont val="Microsoft JhengHei"/>
        <family val="2"/>
      </rPr>
      <t>(E)</t>
    </r>
  </si>
  <si>
    <r>
      <rPr>
        <sz val="9"/>
        <rFont val="Microsoft JhengHei"/>
        <family val="2"/>
      </rPr>
      <t xml:space="preserve">终期分红
</t>
    </r>
    <r>
      <rPr>
        <sz val="9"/>
        <rFont val="Microsoft JhengHei"/>
        <family val="2"/>
      </rPr>
      <t>(F)</t>
    </r>
  </si>
  <si>
    <r>
      <rPr>
        <sz val="9"/>
        <rFont val="Microsoft JhengHei"/>
        <family val="2"/>
      </rPr>
      <t>现金提取</t>
    </r>
    <r>
      <rPr>
        <vertAlign val="subscript"/>
        <sz val="9"/>
        <rFont val="Microsoft JhengHei"/>
        <family val="2"/>
      </rPr>
      <t>金额</t>
    </r>
    <r>
      <rPr>
        <sz val="6"/>
        <rFont val="Microsoft JhengHei"/>
        <family val="2"/>
      </rPr>
      <t>(1),(2)</t>
    </r>
  </si>
  <si>
    <r>
      <rPr>
        <sz val="9"/>
        <rFont val="Microsoft JhengHei"/>
        <family val="2"/>
      </rPr>
      <t>现金提取后之基本金额</t>
    </r>
  </si>
  <si>
    <r>
      <rPr>
        <sz val="9"/>
        <rFont val="Microsoft JhengHei"/>
        <family val="2"/>
      </rPr>
      <t>现金提取后之退保发还金额</t>
    </r>
  </si>
  <si>
    <r>
      <rPr>
        <sz val="9"/>
        <rFont val="Microsoft JhengHei"/>
        <family val="2"/>
      </rPr>
      <t>保证金额</t>
    </r>
    <r>
      <rPr>
        <vertAlign val="superscript"/>
        <sz val="6"/>
        <rFont val="Microsoft JhengHei"/>
        <family val="2"/>
      </rPr>
      <t>(2)</t>
    </r>
  </si>
  <si>
    <t>优惠金额</t>
  </si>
  <si>
    <t>优惠比率</t>
  </si>
  <si>
    <t>优惠比例</t>
  </si>
  <si>
    <t>母亲年龄</t>
  </si>
  <si>
    <t>佳稚年龄</t>
  </si>
  <si>
    <t>妈妈年龄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</si>
</sst>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rgb="FF000000"/>
      <name val="Arial MT"/>
      <family val="2"/>
    </font>
    <font>
      <b/>
      <sz val="12"/>
      <color theme="1"/>
      <name val="Aptos Narrow"/>
      <scheme val="minor"/>
    </font>
    <font>
      <sz val="9"/>
      <name val="Microsoft JhengHei"/>
      <family val="2"/>
      <charset val="136"/>
    </font>
    <font>
      <sz val="9"/>
      <name val="Microsoft JhengHei"/>
      <family val="2"/>
    </font>
    <font>
      <vertAlign val="subscript"/>
      <sz val="9"/>
      <name val="Microsoft JhengHei"/>
      <family val="2"/>
    </font>
    <font>
      <sz val="6"/>
      <name val="Microsoft JhengHei"/>
      <family val="2"/>
    </font>
    <font>
      <vertAlign val="superscript"/>
      <sz val="6"/>
      <name val="Microsoft JhengHe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5" xfId="0" applyBorder="1" applyAlignment="1">
      <alignment horizontal="left" vertical="top" wrapText="1" indent="1"/>
    </xf>
    <xf numFmtId="0" fontId="0" fillId="0" borderId="5" xfId="0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3" fontId="2" fillId="0" borderId="4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shrinkToFit="1"/>
    </xf>
    <xf numFmtId="1" fontId="2" fillId="0" borderId="6" xfId="0" applyNumberFormat="1" applyFont="1" applyBorder="1" applyAlignment="1">
      <alignment horizontal="center" vertical="top" shrinkToFit="1"/>
    </xf>
    <xf numFmtId="3" fontId="2" fillId="0" borderId="6" xfId="0" applyNumberFormat="1" applyFont="1" applyBorder="1" applyAlignment="1">
      <alignment horizontal="right" vertical="top" shrinkToFit="1"/>
    </xf>
    <xf numFmtId="1" fontId="2" fillId="0" borderId="6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0" fontId="0" fillId="0" borderId="7" xfId="0" applyBorder="1"/>
    <xf numFmtId="3" fontId="0" fillId="0" borderId="7" xfId="0" applyNumberFormat="1" applyBorder="1"/>
    <xf numFmtId="1" fontId="2" fillId="0" borderId="7" xfId="0" applyNumberFormat="1" applyFont="1" applyBorder="1" applyAlignment="1">
      <alignment horizontal="right" vertical="top" shrinkToFit="1"/>
    </xf>
    <xf numFmtId="0" fontId="3" fillId="0" borderId="0" xfId="0" applyFont="1" applyAlignment="1">
      <alignment horizontal="right"/>
    </xf>
    <xf numFmtId="10" fontId="3" fillId="0" borderId="0" xfId="1" applyNumberFormat="1" applyFont="1"/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center" vertical="top" shrinkToFit="1"/>
    </xf>
    <xf numFmtId="3" fontId="2" fillId="0" borderId="4" xfId="0" applyNumberFormat="1" applyFont="1" applyBorder="1" applyAlignment="1">
      <alignment horizontal="center" vertical="top" shrinkToFit="1"/>
    </xf>
    <xf numFmtId="3" fontId="2" fillId="0" borderId="6" xfId="0" applyNumberFormat="1" applyFont="1" applyBorder="1" applyAlignment="1">
      <alignment horizontal="center" vertical="top" shrinkToFit="1"/>
    </xf>
    <xf numFmtId="0" fontId="4" fillId="0" borderId="4" xfId="0" applyFont="1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4" fillId="0" borderId="4" xfId="0" applyFont="1" applyBorder="1" applyAlignment="1">
      <alignment horizontal="left" vertical="top" wrapText="1" indent="2"/>
    </xf>
    <xf numFmtId="0" fontId="4" fillId="0" borderId="4" xfId="0" applyFont="1" applyBorder="1" applyAlignment="1">
      <alignment horizontal="left" vertical="top" wrapText="1" indent="1"/>
    </xf>
    <xf numFmtId="9" fontId="0" fillId="0" borderId="0" xfId="0" applyNumberFormat="1"/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8" xfId="0" applyFont="1" applyBorder="1" applyAlignment="1">
      <alignment horizontal="left" vertical="top" wrapText="1" indent="8"/>
    </xf>
    <xf numFmtId="0" fontId="4" fillId="0" borderId="2" xfId="0" applyFont="1" applyBorder="1" applyAlignment="1">
      <alignment horizontal="left" vertical="top" wrapText="1" indent="4"/>
    </xf>
    <xf numFmtId="0" fontId="4" fillId="0" borderId="8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3"/>
    </xf>
    <xf numFmtId="0" fontId="4" fillId="0" borderId="4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2"/>
    </xf>
    <xf numFmtId="0" fontId="4" fillId="0" borderId="4" xfId="0" applyFont="1" applyBorder="1" applyAlignment="1">
      <alignment horizontal="left" vertical="top" wrapText="1" indent="2"/>
    </xf>
    <xf numFmtId="0" fontId="4" fillId="0" borderId="6" xfId="0" applyFont="1" applyBorder="1" applyAlignment="1">
      <alignment horizontal="left" vertical="top" wrapText="1" indent="1"/>
    </xf>
    <xf numFmtId="0" fontId="4" fillId="0" borderId="6" xfId="0" applyFont="1" applyBorder="1" applyAlignment="1">
      <alignment horizontal="left" vertical="top" wrapText="1" indent="3"/>
    </xf>
    <xf numFmtId="0" fontId="0" fillId="0" borderId="6" xfId="0" applyBorder="1" applyAlignment="1">
      <alignment horizontal="left" vertical="top" wrapText="1" indent="3"/>
    </xf>
    <xf numFmtId="0" fontId="4" fillId="0" borderId="6" xfId="0" applyFont="1" applyBorder="1" applyAlignment="1">
      <alignment horizontal="left" vertical="top" wrapText="1" indent="2"/>
    </xf>
    <xf numFmtId="1" fontId="2" fillId="0" borderId="4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3"/>
    </xf>
    <xf numFmtId="0" fontId="4" fillId="0" borderId="8" xfId="0" applyFont="1" applyBorder="1" applyAlignment="1">
      <alignment horizontal="left" vertical="top" wrapText="1" indent="3"/>
    </xf>
    <xf numFmtId="0" fontId="0" fillId="0" borderId="1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308B5-51D4-0E42-AC06-A98567797178}">
  <dimension ref="A1:I62"/>
  <sheetViews>
    <sheetView workbookViewId="0">
      <selection activeCell="D36" sqref="D36"/>
    </sheetView>
  </sheetViews>
  <sheetFormatPr baseColWidth="10" defaultRowHeight="16"/>
  <sheetData>
    <row r="1" spans="1:9">
      <c r="A1" s="34" t="s">
        <v>30</v>
      </c>
      <c r="B1" s="37" t="s">
        <v>7</v>
      </c>
      <c r="C1" s="38" t="s">
        <v>8</v>
      </c>
      <c r="D1" s="40" t="s">
        <v>22</v>
      </c>
      <c r="E1" s="42" t="s">
        <v>23</v>
      </c>
      <c r="F1" s="28" t="s">
        <v>24</v>
      </c>
      <c r="G1" s="29"/>
      <c r="H1" s="29"/>
      <c r="I1" s="30"/>
    </row>
    <row r="2" spans="1:9">
      <c r="A2" s="35"/>
      <c r="B2" s="35"/>
      <c r="C2" s="39"/>
      <c r="D2" s="41"/>
      <c r="E2" s="43"/>
      <c r="F2" s="1" t="s">
        <v>25</v>
      </c>
      <c r="G2" s="31" t="s">
        <v>12</v>
      </c>
      <c r="H2" s="32"/>
      <c r="I2" s="33" t="s">
        <v>13</v>
      </c>
    </row>
    <row r="3" spans="1:9" ht="30">
      <c r="A3" s="36"/>
      <c r="B3" s="36"/>
      <c r="C3" s="45"/>
      <c r="D3" s="46"/>
      <c r="E3" s="47"/>
      <c r="F3" s="2" t="s">
        <v>17</v>
      </c>
      <c r="G3" s="2" t="s">
        <v>18</v>
      </c>
      <c r="H3" s="2" t="s">
        <v>19</v>
      </c>
      <c r="I3" s="44"/>
    </row>
    <row r="4" spans="1:9">
      <c r="A4" s="3">
        <f>'5w5 18年调增提取'!B5</f>
        <v>42</v>
      </c>
      <c r="B4" s="3">
        <v>1</v>
      </c>
      <c r="C4" s="4">
        <v>50000</v>
      </c>
      <c r="D4" s="5">
        <v>0</v>
      </c>
      <c r="E4" s="4">
        <v>512296</v>
      </c>
      <c r="F4" s="5">
        <v>51</v>
      </c>
      <c r="G4" s="5">
        <v>0</v>
      </c>
      <c r="H4" s="5">
        <v>0</v>
      </c>
      <c r="I4" s="5">
        <v>51</v>
      </c>
    </row>
    <row r="5" spans="1:9">
      <c r="A5" s="3">
        <f>'5w5 18年调增提取'!B6</f>
        <v>43</v>
      </c>
      <c r="B5" s="6">
        <v>2</v>
      </c>
      <c r="C5" s="7">
        <v>100000</v>
      </c>
      <c r="D5" s="8">
        <v>0</v>
      </c>
      <c r="E5" s="7">
        <v>512296</v>
      </c>
      <c r="F5" s="8">
        <v>51</v>
      </c>
      <c r="G5" s="8">
        <v>0</v>
      </c>
      <c r="H5" s="8">
        <v>0</v>
      </c>
      <c r="I5" s="8">
        <v>51</v>
      </c>
    </row>
    <row r="6" spans="1:9">
      <c r="A6" s="3">
        <f>'5w5 18年调增提取'!B7</f>
        <v>44</v>
      </c>
      <c r="B6" s="6">
        <v>3</v>
      </c>
      <c r="C6" s="7">
        <v>150000</v>
      </c>
      <c r="D6" s="8">
        <v>0</v>
      </c>
      <c r="E6" s="7">
        <v>512296</v>
      </c>
      <c r="F6" s="7">
        <v>13320</v>
      </c>
      <c r="G6" s="7">
        <v>4150</v>
      </c>
      <c r="H6" s="7">
        <v>7747</v>
      </c>
      <c r="I6" s="7">
        <v>25216</v>
      </c>
    </row>
    <row r="7" spans="1:9">
      <c r="A7" s="3">
        <f>'5w5 18年调增提取'!B8</f>
        <v>45</v>
      </c>
      <c r="B7" s="6">
        <v>4</v>
      </c>
      <c r="C7" s="7">
        <v>200000</v>
      </c>
      <c r="D7" s="8">
        <v>0</v>
      </c>
      <c r="E7" s="7">
        <v>512296</v>
      </c>
      <c r="F7" s="7">
        <v>37398</v>
      </c>
      <c r="G7" s="7">
        <v>8361</v>
      </c>
      <c r="H7" s="7">
        <v>17182</v>
      </c>
      <c r="I7" s="7">
        <v>62941</v>
      </c>
    </row>
    <row r="8" spans="1:9">
      <c r="A8" s="3">
        <f>'5w5 18年调增提取'!B9</f>
        <v>46</v>
      </c>
      <c r="B8" s="9">
        <v>5</v>
      </c>
      <c r="C8" s="10">
        <v>250000</v>
      </c>
      <c r="D8" s="11">
        <v>0</v>
      </c>
      <c r="E8" s="10">
        <v>512296</v>
      </c>
      <c r="F8" s="10">
        <v>70697</v>
      </c>
      <c r="G8" s="10">
        <v>12636</v>
      </c>
      <c r="H8" s="10">
        <v>34121</v>
      </c>
      <c r="I8" s="10">
        <v>117454</v>
      </c>
    </row>
    <row r="9" spans="1:9">
      <c r="A9" s="3">
        <f>'5w5 18年调增提取'!B10</f>
        <v>47</v>
      </c>
      <c r="B9" s="3">
        <v>6</v>
      </c>
      <c r="C9" s="4">
        <v>250000</v>
      </c>
      <c r="D9" s="5">
        <v>0</v>
      </c>
      <c r="E9" s="4">
        <v>512296</v>
      </c>
      <c r="F9" s="4">
        <v>93238</v>
      </c>
      <c r="G9" s="4">
        <v>16976</v>
      </c>
      <c r="H9" s="4">
        <v>109559</v>
      </c>
      <c r="I9" s="4">
        <v>219773</v>
      </c>
    </row>
    <row r="10" spans="1:9">
      <c r="A10" s="3">
        <f>'5w5 18年调增提取'!B11</f>
        <v>48</v>
      </c>
      <c r="B10" s="6">
        <v>7</v>
      </c>
      <c r="C10" s="7">
        <v>250000</v>
      </c>
      <c r="D10" s="8">
        <v>0</v>
      </c>
      <c r="E10" s="7">
        <v>512296</v>
      </c>
      <c r="F10" s="7">
        <v>115267</v>
      </c>
      <c r="G10" s="7">
        <v>21380</v>
      </c>
      <c r="H10" s="7">
        <v>115808</v>
      </c>
      <c r="I10" s="7">
        <v>252454</v>
      </c>
    </row>
    <row r="11" spans="1:9">
      <c r="A11" s="3">
        <f>'5w5 18年调增提取'!B12</f>
        <v>49</v>
      </c>
      <c r="B11" s="6">
        <v>8</v>
      </c>
      <c r="C11" s="7">
        <v>250000</v>
      </c>
      <c r="D11" s="8">
        <v>0</v>
      </c>
      <c r="E11" s="7">
        <v>512296</v>
      </c>
      <c r="F11" s="7">
        <v>148566</v>
      </c>
      <c r="G11" s="7">
        <v>25850</v>
      </c>
      <c r="H11" s="7">
        <v>116778</v>
      </c>
      <c r="I11" s="7">
        <v>291194</v>
      </c>
    </row>
    <row r="12" spans="1:9">
      <c r="A12" s="3">
        <f>'5w5 18年调增提取'!B13</f>
        <v>50</v>
      </c>
      <c r="B12" s="6">
        <v>9</v>
      </c>
      <c r="C12" s="7">
        <v>250000</v>
      </c>
      <c r="D12" s="8">
        <v>0</v>
      </c>
      <c r="E12" s="7">
        <v>512296</v>
      </c>
      <c r="F12" s="7">
        <v>153177</v>
      </c>
      <c r="G12" s="7">
        <v>30387</v>
      </c>
      <c r="H12" s="7">
        <v>127531</v>
      </c>
      <c r="I12" s="7">
        <v>311095</v>
      </c>
    </row>
    <row r="13" spans="1:9">
      <c r="A13" s="3">
        <f>'5w5 18年调增提取'!B14</f>
        <v>51</v>
      </c>
      <c r="B13" s="9">
        <v>10</v>
      </c>
      <c r="C13" s="10">
        <v>250000</v>
      </c>
      <c r="D13" s="11">
        <v>0</v>
      </c>
      <c r="E13" s="10">
        <v>512296</v>
      </c>
      <c r="F13" s="10">
        <v>157275</v>
      </c>
      <c r="G13" s="10">
        <v>31337</v>
      </c>
      <c r="H13" s="10">
        <v>140257</v>
      </c>
      <c r="I13" s="10">
        <v>328869</v>
      </c>
    </row>
    <row r="14" spans="1:9">
      <c r="A14" s="3">
        <f>'5w5 18年调增提取'!B15</f>
        <v>52</v>
      </c>
      <c r="B14" s="3">
        <v>11</v>
      </c>
      <c r="C14" s="4">
        <v>250000</v>
      </c>
      <c r="D14" s="5">
        <v>0</v>
      </c>
      <c r="E14" s="4">
        <v>512296</v>
      </c>
      <c r="F14" s="4">
        <v>162398</v>
      </c>
      <c r="G14" s="4">
        <v>32310</v>
      </c>
      <c r="H14" s="4">
        <v>157936</v>
      </c>
      <c r="I14" s="4">
        <v>352643</v>
      </c>
    </row>
    <row r="15" spans="1:9">
      <c r="A15" s="3">
        <f>'5w5 18年调增提取'!B16</f>
        <v>53</v>
      </c>
      <c r="B15" s="6">
        <v>12</v>
      </c>
      <c r="C15" s="7">
        <v>250000</v>
      </c>
      <c r="D15" s="8">
        <v>0</v>
      </c>
      <c r="E15" s="7">
        <v>512296</v>
      </c>
      <c r="F15" s="7">
        <v>167008</v>
      </c>
      <c r="G15" s="7">
        <v>33306</v>
      </c>
      <c r="H15" s="7">
        <v>177321</v>
      </c>
      <c r="I15" s="7">
        <v>377635</v>
      </c>
    </row>
    <row r="16" spans="1:9">
      <c r="A16" s="3">
        <f>'5w5 18年调增提取'!B17</f>
        <v>54</v>
      </c>
      <c r="B16" s="6">
        <v>13</v>
      </c>
      <c r="C16" s="7">
        <v>250000</v>
      </c>
      <c r="D16" s="8">
        <v>0</v>
      </c>
      <c r="E16" s="7">
        <v>512296</v>
      </c>
      <c r="F16" s="7">
        <v>172131</v>
      </c>
      <c r="G16" s="7">
        <v>34327</v>
      </c>
      <c r="H16" s="7">
        <v>197878</v>
      </c>
      <c r="I16" s="7">
        <v>404336</v>
      </c>
    </row>
    <row r="17" spans="1:9">
      <c r="A17" s="3">
        <f>'5w5 18年调增提取'!B18</f>
        <v>55</v>
      </c>
      <c r="B17" s="6">
        <v>14</v>
      </c>
      <c r="C17" s="7">
        <v>250000</v>
      </c>
      <c r="D17" s="8">
        <v>0</v>
      </c>
      <c r="E17" s="7">
        <v>512296</v>
      </c>
      <c r="F17" s="7">
        <v>177254</v>
      </c>
      <c r="G17" s="7">
        <v>35373</v>
      </c>
      <c r="H17" s="7">
        <v>221258</v>
      </c>
      <c r="I17" s="7">
        <v>433886</v>
      </c>
    </row>
    <row r="18" spans="1:9">
      <c r="A18" s="3">
        <f>'5w5 18年调增提取'!B19</f>
        <v>56</v>
      </c>
      <c r="B18" s="9">
        <v>15</v>
      </c>
      <c r="C18" s="10">
        <v>250000</v>
      </c>
      <c r="D18" s="11">
        <v>0</v>
      </c>
      <c r="E18" s="10">
        <v>512296</v>
      </c>
      <c r="F18" s="10">
        <v>182377</v>
      </c>
      <c r="G18" s="10">
        <v>36444</v>
      </c>
      <c r="H18" s="10">
        <v>246384</v>
      </c>
      <c r="I18" s="10">
        <v>465206</v>
      </c>
    </row>
    <row r="19" spans="1:9">
      <c r="A19" s="3">
        <f>'5w5 18年调增提取'!B20</f>
        <v>57</v>
      </c>
      <c r="B19" s="3">
        <v>16</v>
      </c>
      <c r="C19" s="4">
        <v>250000</v>
      </c>
      <c r="D19" s="5">
        <v>0</v>
      </c>
      <c r="E19" s="4">
        <v>512296</v>
      </c>
      <c r="F19" s="4">
        <v>194672</v>
      </c>
      <c r="G19" s="4">
        <v>37542</v>
      </c>
      <c r="H19" s="4">
        <v>268321</v>
      </c>
      <c r="I19" s="4">
        <v>500536</v>
      </c>
    </row>
    <row r="20" spans="1:9">
      <c r="A20" s="3">
        <f>'5w5 18年调增提取'!B21</f>
        <v>58</v>
      </c>
      <c r="B20" s="6">
        <v>17</v>
      </c>
      <c r="C20" s="7">
        <v>250000</v>
      </c>
      <c r="D20" s="8">
        <v>0</v>
      </c>
      <c r="E20" s="7">
        <v>512296</v>
      </c>
      <c r="F20" s="7">
        <v>207480</v>
      </c>
      <c r="G20" s="7">
        <v>38667</v>
      </c>
      <c r="H20" s="7">
        <v>292561</v>
      </c>
      <c r="I20" s="7">
        <v>538708</v>
      </c>
    </row>
    <row r="21" spans="1:9">
      <c r="A21" s="3">
        <f>'5w5 18年调增提取'!B22</f>
        <v>59</v>
      </c>
      <c r="B21" s="6">
        <v>18</v>
      </c>
      <c r="C21" s="7">
        <v>250000</v>
      </c>
      <c r="D21" s="7">
        <v>33500</v>
      </c>
      <c r="E21" s="7">
        <v>512296</v>
      </c>
      <c r="F21" s="7">
        <v>250513</v>
      </c>
      <c r="G21" s="7">
        <v>17952</v>
      </c>
      <c r="H21" s="7">
        <v>282092</v>
      </c>
      <c r="I21" s="7">
        <v>550557</v>
      </c>
    </row>
    <row r="22" spans="1:9">
      <c r="A22" s="3">
        <f>'5w5 18年调增提取'!B23</f>
        <v>60</v>
      </c>
      <c r="B22" s="6">
        <v>19</v>
      </c>
      <c r="C22" s="7">
        <v>248110</v>
      </c>
      <c r="D22" s="7">
        <v>34170</v>
      </c>
      <c r="E22" s="7">
        <v>508422</v>
      </c>
      <c r="F22" s="7">
        <v>250652</v>
      </c>
      <c r="G22" s="8">
        <v>0</v>
      </c>
      <c r="H22" s="7">
        <v>309120</v>
      </c>
      <c r="I22" s="7">
        <v>559772</v>
      </c>
    </row>
    <row r="23" spans="1:9">
      <c r="A23" s="3">
        <f>'5w5 18年调增提取'!B24</f>
        <v>61</v>
      </c>
      <c r="B23" s="9">
        <v>20</v>
      </c>
      <c r="C23" s="10">
        <v>234581</v>
      </c>
      <c r="D23" s="10">
        <v>34853</v>
      </c>
      <c r="E23" s="10">
        <v>479226</v>
      </c>
      <c r="F23" s="10">
        <v>236737</v>
      </c>
      <c r="G23" s="11">
        <v>0</v>
      </c>
      <c r="H23" s="10">
        <v>329707</v>
      </c>
      <c r="I23" s="10">
        <v>566445</v>
      </c>
    </row>
    <row r="24" spans="1:9">
      <c r="A24" s="3">
        <f>'5w5 18年调增提取'!B25</f>
        <v>62</v>
      </c>
      <c r="B24" s="3">
        <v>21</v>
      </c>
      <c r="C24" s="4">
        <v>221243</v>
      </c>
      <c r="D24" s="4">
        <v>35550</v>
      </c>
      <c r="E24" s="4">
        <v>451977</v>
      </c>
      <c r="F24" s="4">
        <v>223728</v>
      </c>
      <c r="G24" s="5">
        <v>0</v>
      </c>
      <c r="H24" s="4">
        <v>360225</v>
      </c>
      <c r="I24" s="4">
        <v>583954</v>
      </c>
    </row>
    <row r="25" spans="1:9">
      <c r="A25" s="3">
        <f>'5w5 18年调增提取'!B26</f>
        <v>63</v>
      </c>
      <c r="B25" s="6">
        <v>22</v>
      </c>
      <c r="C25" s="7">
        <v>208756</v>
      </c>
      <c r="D25" s="7">
        <v>36261</v>
      </c>
      <c r="E25" s="7">
        <v>426469</v>
      </c>
      <c r="F25" s="7">
        <v>211528</v>
      </c>
      <c r="G25" s="8">
        <v>0</v>
      </c>
      <c r="H25" s="7">
        <v>388939</v>
      </c>
      <c r="I25" s="7">
        <v>600468</v>
      </c>
    </row>
    <row r="26" spans="1:9">
      <c r="A26" s="3">
        <f>'5w5 18年调增提取'!B27</f>
        <v>64</v>
      </c>
      <c r="B26" s="6">
        <v>23</v>
      </c>
      <c r="C26" s="7">
        <v>197088</v>
      </c>
      <c r="D26" s="7">
        <v>36987</v>
      </c>
      <c r="E26" s="7">
        <v>402631</v>
      </c>
      <c r="F26" s="7">
        <v>200107</v>
      </c>
      <c r="G26" s="8">
        <v>0</v>
      </c>
      <c r="H26" s="7">
        <v>418736</v>
      </c>
      <c r="I26" s="7">
        <v>618843</v>
      </c>
    </row>
    <row r="27" spans="1:9">
      <c r="A27" s="3">
        <f>'5w5 18年调增提取'!B28</f>
        <v>65</v>
      </c>
      <c r="B27" s="6">
        <v>24</v>
      </c>
      <c r="C27" s="7">
        <v>186052</v>
      </c>
      <c r="D27" s="7">
        <v>37726</v>
      </c>
      <c r="E27" s="7">
        <v>380086</v>
      </c>
      <c r="F27" s="7">
        <v>189283</v>
      </c>
      <c r="G27" s="8">
        <v>0</v>
      </c>
      <c r="H27" s="7">
        <v>440900</v>
      </c>
      <c r="I27" s="7">
        <v>630183</v>
      </c>
    </row>
    <row r="28" spans="1:9">
      <c r="A28" s="3">
        <f>'5w5 18年调增提取'!B29</f>
        <v>66</v>
      </c>
      <c r="B28" s="9">
        <v>25</v>
      </c>
      <c r="C28" s="10">
        <v>175619</v>
      </c>
      <c r="D28" s="10">
        <v>38481</v>
      </c>
      <c r="E28" s="10">
        <v>358771</v>
      </c>
      <c r="F28" s="10">
        <v>179027</v>
      </c>
      <c r="G28" s="11">
        <v>0</v>
      </c>
      <c r="H28" s="10">
        <v>462815</v>
      </c>
      <c r="I28" s="10">
        <v>641842</v>
      </c>
    </row>
    <row r="29" spans="1:9">
      <c r="A29" s="3">
        <f>'5w5 18年调增提取'!B30</f>
        <v>67</v>
      </c>
      <c r="B29" s="3">
        <v>26</v>
      </c>
      <c r="C29" s="4">
        <v>165747</v>
      </c>
      <c r="D29" s="4">
        <v>39251</v>
      </c>
      <c r="E29" s="4">
        <v>338604</v>
      </c>
      <c r="F29" s="4">
        <v>169302</v>
      </c>
      <c r="G29" s="5">
        <v>0</v>
      </c>
      <c r="H29" s="4">
        <v>483865</v>
      </c>
      <c r="I29" s="4">
        <v>653167</v>
      </c>
    </row>
    <row r="30" spans="1:9">
      <c r="A30" s="3">
        <f>'5w5 18年调增提取'!B31</f>
        <v>68</v>
      </c>
      <c r="B30" s="6">
        <v>27</v>
      </c>
      <c r="C30" s="7">
        <v>156393</v>
      </c>
      <c r="D30" s="7">
        <v>40036</v>
      </c>
      <c r="E30" s="7">
        <v>319496</v>
      </c>
      <c r="F30" s="7">
        <v>160068</v>
      </c>
      <c r="G30" s="8">
        <v>0</v>
      </c>
      <c r="H30" s="7">
        <v>503526</v>
      </c>
      <c r="I30" s="7">
        <v>663594</v>
      </c>
    </row>
    <row r="31" spans="1:9">
      <c r="A31" s="3">
        <f>'5w5 18年调增提取'!B32</f>
        <v>69</v>
      </c>
      <c r="B31" s="6">
        <v>28</v>
      </c>
      <c r="C31" s="7">
        <v>147454</v>
      </c>
      <c r="D31" s="7">
        <v>40836</v>
      </c>
      <c r="E31" s="7">
        <v>301233</v>
      </c>
      <c r="F31" s="7">
        <v>151219</v>
      </c>
      <c r="G31" s="8">
        <v>0</v>
      </c>
      <c r="H31" s="7">
        <v>516615</v>
      </c>
      <c r="I31" s="7">
        <v>667834</v>
      </c>
    </row>
    <row r="32" spans="1:9">
      <c r="A32" s="3">
        <f>'5w5 18年调增提取'!B33</f>
        <v>70</v>
      </c>
      <c r="B32" s="6">
        <v>29</v>
      </c>
      <c r="C32" s="7">
        <v>138889</v>
      </c>
      <c r="D32" s="7">
        <v>41653</v>
      </c>
      <c r="E32" s="7">
        <v>283737</v>
      </c>
      <c r="F32" s="7">
        <v>142720</v>
      </c>
      <c r="G32" s="8">
        <v>0</v>
      </c>
      <c r="H32" s="7">
        <v>527183</v>
      </c>
      <c r="I32" s="7">
        <v>669903</v>
      </c>
    </row>
    <row r="33" spans="1:9">
      <c r="A33" s="3">
        <f>'5w5 18年调增提取'!B34</f>
        <v>71</v>
      </c>
      <c r="B33" s="9">
        <v>30</v>
      </c>
      <c r="C33" s="10">
        <v>130829</v>
      </c>
      <c r="D33" s="10">
        <v>42486</v>
      </c>
      <c r="E33" s="10">
        <v>267270</v>
      </c>
      <c r="F33" s="10">
        <v>134704</v>
      </c>
      <c r="G33" s="11">
        <v>0</v>
      </c>
      <c r="H33" s="10">
        <v>549240</v>
      </c>
      <c r="I33" s="10">
        <v>683944</v>
      </c>
    </row>
    <row r="34" spans="1:9">
      <c r="A34" s="3">
        <f>'5w5 18年调增提取'!B35</f>
        <v>72</v>
      </c>
      <c r="B34" s="3">
        <v>31</v>
      </c>
      <c r="C34" s="4">
        <v>123092</v>
      </c>
      <c r="D34" s="4">
        <v>43336</v>
      </c>
      <c r="E34" s="4">
        <v>251464</v>
      </c>
      <c r="F34" s="4">
        <v>126989</v>
      </c>
      <c r="G34" s="5">
        <v>0</v>
      </c>
      <c r="H34" s="4">
        <v>556993</v>
      </c>
      <c r="I34" s="4">
        <v>683982</v>
      </c>
    </row>
    <row r="35" spans="1:9">
      <c r="A35" s="3">
        <f>'5w5 18年调增提取'!B36</f>
        <v>73</v>
      </c>
      <c r="B35" s="6">
        <v>32</v>
      </c>
      <c r="C35" s="7">
        <v>116017</v>
      </c>
      <c r="D35" s="7">
        <v>44203</v>
      </c>
      <c r="E35" s="7">
        <v>236287</v>
      </c>
      <c r="F35" s="7">
        <v>119561</v>
      </c>
      <c r="G35" s="8">
        <v>0</v>
      </c>
      <c r="H35" s="7">
        <v>563307</v>
      </c>
      <c r="I35" s="7">
        <v>682868</v>
      </c>
    </row>
    <row r="36" spans="1:9">
      <c r="A36" s="3">
        <f>'5w5 18年调增提取'!B37</f>
        <v>74</v>
      </c>
      <c r="B36" s="6">
        <v>33</v>
      </c>
      <c r="C36" s="7">
        <v>108867</v>
      </c>
      <c r="D36" s="7">
        <v>45087</v>
      </c>
      <c r="E36" s="7">
        <v>221724</v>
      </c>
      <c r="F36" s="7">
        <v>112858</v>
      </c>
      <c r="G36" s="8">
        <v>0</v>
      </c>
      <c r="H36" s="7">
        <v>568501</v>
      </c>
      <c r="I36" s="7">
        <v>681359</v>
      </c>
    </row>
    <row r="37" spans="1:9">
      <c r="A37" s="3">
        <f>'5w5 18年调增提取'!B38</f>
        <v>75</v>
      </c>
      <c r="B37" s="6">
        <v>34</v>
      </c>
      <c r="C37" s="7">
        <v>102005</v>
      </c>
      <c r="D37" s="7">
        <v>45988</v>
      </c>
      <c r="E37" s="7">
        <v>207750</v>
      </c>
      <c r="F37" s="7">
        <v>106368</v>
      </c>
      <c r="G37" s="8">
        <v>0</v>
      </c>
      <c r="H37" s="7">
        <v>572350</v>
      </c>
      <c r="I37" s="7">
        <v>678718</v>
      </c>
    </row>
    <row r="38" spans="1:9">
      <c r="A38" s="3">
        <f>'5w5 18年调增提取'!B39</f>
        <v>76</v>
      </c>
      <c r="B38" s="9">
        <v>35</v>
      </c>
      <c r="C38" s="10">
        <v>95420</v>
      </c>
      <c r="D38" s="10">
        <v>46908</v>
      </c>
      <c r="E38" s="10">
        <v>194338</v>
      </c>
      <c r="F38" s="10">
        <v>100084</v>
      </c>
      <c r="G38" s="11">
        <v>0</v>
      </c>
      <c r="H38" s="10">
        <v>574851</v>
      </c>
      <c r="I38" s="10">
        <v>674935</v>
      </c>
    </row>
    <row r="39" spans="1:9">
      <c r="A39" s="3">
        <f>'5w5 18年调增提取'!B40</f>
        <v>77</v>
      </c>
      <c r="B39" s="3">
        <v>36</v>
      </c>
      <c r="C39" s="4">
        <v>89100</v>
      </c>
      <c r="D39" s="4">
        <v>47846</v>
      </c>
      <c r="E39" s="4">
        <v>181466</v>
      </c>
      <c r="F39" s="4">
        <v>93818</v>
      </c>
      <c r="G39" s="5">
        <v>0</v>
      </c>
      <c r="H39" s="4">
        <v>576156</v>
      </c>
      <c r="I39" s="4">
        <v>669974</v>
      </c>
    </row>
    <row r="40" spans="1:9">
      <c r="A40" s="3">
        <f>'5w5 18年调增提取'!B41</f>
        <v>78</v>
      </c>
      <c r="B40" s="6">
        <v>37</v>
      </c>
      <c r="C40" s="7">
        <v>83033</v>
      </c>
      <c r="D40" s="7">
        <v>48803</v>
      </c>
      <c r="E40" s="7">
        <v>169111</v>
      </c>
      <c r="F40" s="7">
        <v>88107</v>
      </c>
      <c r="G40" s="8">
        <v>0</v>
      </c>
      <c r="H40" s="7">
        <v>575484</v>
      </c>
      <c r="I40" s="7">
        <v>663591</v>
      </c>
    </row>
    <row r="41" spans="1:9">
      <c r="A41" s="3">
        <f>'5w5 18年调增提取'!B42</f>
        <v>79</v>
      </c>
      <c r="B41" s="6">
        <v>38</v>
      </c>
      <c r="C41" s="7">
        <v>77211</v>
      </c>
      <c r="D41" s="7">
        <v>49779</v>
      </c>
      <c r="E41" s="7">
        <v>157252</v>
      </c>
      <c r="F41" s="7">
        <v>82557</v>
      </c>
      <c r="G41" s="8">
        <v>0</v>
      </c>
      <c r="H41" s="7">
        <v>573339</v>
      </c>
      <c r="I41" s="7">
        <v>655896</v>
      </c>
    </row>
    <row r="42" spans="1:9">
      <c r="A42" s="3">
        <f>'5w5 18年调增提取'!B43</f>
        <v>80</v>
      </c>
      <c r="B42" s="6">
        <v>39</v>
      </c>
      <c r="C42" s="7">
        <v>71838</v>
      </c>
      <c r="D42" s="7">
        <v>50775</v>
      </c>
      <c r="E42" s="7">
        <v>145865</v>
      </c>
      <c r="F42" s="7">
        <v>76871</v>
      </c>
      <c r="G42" s="8">
        <v>0</v>
      </c>
      <c r="H42" s="7">
        <v>569602</v>
      </c>
      <c r="I42" s="7">
        <v>646473</v>
      </c>
    </row>
    <row r="43" spans="1:9">
      <c r="A43" s="3">
        <f>'5w5 18年调增提取'!B44</f>
        <v>81</v>
      </c>
      <c r="B43" s="9">
        <v>40</v>
      </c>
      <c r="C43" s="10">
        <v>66771</v>
      </c>
      <c r="D43" s="10">
        <v>51790</v>
      </c>
      <c r="E43" s="10">
        <v>135576</v>
      </c>
      <c r="F43" s="10">
        <v>72099</v>
      </c>
      <c r="G43" s="11">
        <v>0</v>
      </c>
      <c r="H43" s="10">
        <v>565624</v>
      </c>
      <c r="I43" s="10">
        <v>637724</v>
      </c>
    </row>
    <row r="44" spans="1:9">
      <c r="A44" s="3">
        <f>'5w5 18年调增提取'!B45</f>
        <v>82</v>
      </c>
      <c r="B44" s="3">
        <v>41</v>
      </c>
      <c r="C44" s="4">
        <v>61887</v>
      </c>
      <c r="D44" s="4">
        <v>52826</v>
      </c>
      <c r="E44" s="4">
        <v>125659</v>
      </c>
      <c r="F44" s="4">
        <v>66989</v>
      </c>
      <c r="G44" s="5">
        <v>0</v>
      </c>
      <c r="H44" s="4">
        <v>560189</v>
      </c>
      <c r="I44" s="4">
        <v>627178</v>
      </c>
    </row>
    <row r="45" spans="1:9">
      <c r="A45" s="3">
        <f>'5w5 18年调增提取'!B46</f>
        <v>83</v>
      </c>
      <c r="B45" s="6">
        <v>42</v>
      </c>
      <c r="C45" s="7">
        <v>57181</v>
      </c>
      <c r="D45" s="7">
        <v>53883</v>
      </c>
      <c r="E45" s="7">
        <v>116103</v>
      </c>
      <c r="F45" s="7">
        <v>62045</v>
      </c>
      <c r="G45" s="8">
        <v>0</v>
      </c>
      <c r="H45" s="7">
        <v>552998</v>
      </c>
      <c r="I45" s="7">
        <v>615044</v>
      </c>
    </row>
    <row r="46" spans="1:9">
      <c r="A46" s="3">
        <f>'5w5 18年调增提取'!B47</f>
        <v>84</v>
      </c>
      <c r="B46" s="6">
        <v>43</v>
      </c>
      <c r="C46" s="7">
        <v>52644</v>
      </c>
      <c r="D46" s="7">
        <v>54960</v>
      </c>
      <c r="E46" s="7">
        <v>106890</v>
      </c>
      <c r="F46" s="7">
        <v>57261</v>
      </c>
      <c r="G46" s="8">
        <v>0</v>
      </c>
      <c r="H46" s="7">
        <v>543538</v>
      </c>
      <c r="I46" s="7">
        <v>600799</v>
      </c>
    </row>
    <row r="47" spans="1:9">
      <c r="A47" s="3">
        <f>'5w5 18年调增提取'!B48</f>
        <v>85</v>
      </c>
      <c r="B47" s="6">
        <v>44</v>
      </c>
      <c r="C47" s="7">
        <v>48270</v>
      </c>
      <c r="D47" s="7">
        <v>56060</v>
      </c>
      <c r="E47" s="7">
        <v>98011</v>
      </c>
      <c r="F47" s="7">
        <v>52632</v>
      </c>
      <c r="G47" s="8">
        <v>0</v>
      </c>
      <c r="H47" s="7">
        <v>532002</v>
      </c>
      <c r="I47" s="7">
        <v>584633</v>
      </c>
    </row>
    <row r="48" spans="1:9">
      <c r="A48" s="3">
        <f>'5w5 18年调增提取'!B49</f>
        <v>86</v>
      </c>
      <c r="B48" s="9">
        <v>45</v>
      </c>
      <c r="C48" s="10">
        <v>44055</v>
      </c>
      <c r="D48" s="10">
        <v>57181</v>
      </c>
      <c r="E48" s="10">
        <v>89451</v>
      </c>
      <c r="F48" s="10">
        <v>48151</v>
      </c>
      <c r="G48" s="11">
        <v>0</v>
      </c>
      <c r="H48" s="10">
        <v>518100</v>
      </c>
      <c r="I48" s="10">
        <v>566251</v>
      </c>
    </row>
    <row r="49" spans="1:9">
      <c r="A49" s="3">
        <f>'5w5 18年调增提取'!B50</f>
        <v>87</v>
      </c>
      <c r="B49" s="3">
        <v>46</v>
      </c>
      <c r="C49" s="4">
        <v>39990</v>
      </c>
      <c r="D49" s="4">
        <v>58324</v>
      </c>
      <c r="E49" s="4">
        <v>81199</v>
      </c>
      <c r="F49" s="4">
        <v>43815</v>
      </c>
      <c r="G49" s="5">
        <v>0</v>
      </c>
      <c r="H49" s="4">
        <v>501646</v>
      </c>
      <c r="I49" s="4">
        <v>545461</v>
      </c>
    </row>
    <row r="50" spans="1:9">
      <c r="A50" s="3">
        <f>'5w5 18年调增提取'!B51</f>
        <v>88</v>
      </c>
      <c r="B50" s="6">
        <v>47</v>
      </c>
      <c r="C50" s="7">
        <v>36255</v>
      </c>
      <c r="D50" s="7">
        <v>59491</v>
      </c>
      <c r="E50" s="7">
        <v>73241</v>
      </c>
      <c r="F50" s="7">
        <v>39616</v>
      </c>
      <c r="G50" s="8">
        <v>0</v>
      </c>
      <c r="H50" s="7">
        <v>482442</v>
      </c>
      <c r="I50" s="7">
        <v>522058</v>
      </c>
    </row>
    <row r="51" spans="1:9">
      <c r="A51" s="3">
        <f>'5w5 18年调增提取'!B52</f>
        <v>89</v>
      </c>
      <c r="B51" s="6">
        <v>48</v>
      </c>
      <c r="C51" s="7">
        <v>32457</v>
      </c>
      <c r="D51" s="7">
        <v>60681</v>
      </c>
      <c r="E51" s="7">
        <v>65569</v>
      </c>
      <c r="F51" s="7">
        <v>35604</v>
      </c>
      <c r="G51" s="8">
        <v>0</v>
      </c>
      <c r="H51" s="7">
        <v>460357</v>
      </c>
      <c r="I51" s="7">
        <v>495961</v>
      </c>
    </row>
    <row r="52" spans="1:9">
      <c r="A52" s="3">
        <f>'5w5 18年调增提取'!B53</f>
        <v>90</v>
      </c>
      <c r="B52" s="6">
        <v>49</v>
      </c>
      <c r="C52" s="7">
        <v>28804</v>
      </c>
      <c r="D52" s="7">
        <v>61894</v>
      </c>
      <c r="E52" s="7">
        <v>58190</v>
      </c>
      <c r="F52" s="7">
        <v>31685</v>
      </c>
      <c r="G52" s="8">
        <v>0</v>
      </c>
      <c r="H52" s="7">
        <v>436660</v>
      </c>
      <c r="I52" s="7">
        <v>468344</v>
      </c>
    </row>
    <row r="53" spans="1:9">
      <c r="A53" s="3">
        <f>'5w5 18年调增提取'!B54</f>
        <v>91</v>
      </c>
      <c r="B53" s="9">
        <v>50</v>
      </c>
      <c r="C53" s="10">
        <v>25280</v>
      </c>
      <c r="D53" s="10">
        <v>63132</v>
      </c>
      <c r="E53" s="10">
        <v>51071</v>
      </c>
      <c r="F53" s="10">
        <v>27885</v>
      </c>
      <c r="G53" s="11">
        <v>0</v>
      </c>
      <c r="H53" s="10">
        <v>408108</v>
      </c>
      <c r="I53" s="10">
        <v>435993</v>
      </c>
    </row>
    <row r="54" spans="1:9">
      <c r="A54" s="3">
        <f>'5w5 18年调增提取'!B55</f>
        <v>92</v>
      </c>
      <c r="B54" s="3">
        <v>51</v>
      </c>
      <c r="C54" s="4">
        <v>21879</v>
      </c>
      <c r="D54" s="4">
        <v>64395</v>
      </c>
      <c r="E54" s="4">
        <v>44200</v>
      </c>
      <c r="F54" s="4">
        <v>24199</v>
      </c>
      <c r="G54" s="5">
        <v>0</v>
      </c>
      <c r="H54" s="4">
        <v>375961</v>
      </c>
      <c r="I54" s="4">
        <v>400160</v>
      </c>
    </row>
    <row r="55" spans="1:9">
      <c r="A55" s="3">
        <f>'5w5 18年调增提取'!B56</f>
        <v>93</v>
      </c>
      <c r="B55" s="6">
        <v>52</v>
      </c>
      <c r="C55" s="7">
        <v>18596</v>
      </c>
      <c r="D55" s="7">
        <v>65683</v>
      </c>
      <c r="E55" s="7">
        <v>37567</v>
      </c>
      <c r="F55" s="7">
        <v>20624</v>
      </c>
      <c r="G55" s="8">
        <v>0</v>
      </c>
      <c r="H55" s="7">
        <v>340096</v>
      </c>
      <c r="I55" s="7">
        <v>360720</v>
      </c>
    </row>
    <row r="56" spans="1:9">
      <c r="A56" s="3">
        <f>'5w5 18年调增提取'!B57</f>
        <v>94</v>
      </c>
      <c r="B56" s="6">
        <v>53</v>
      </c>
      <c r="C56" s="7">
        <v>15582</v>
      </c>
      <c r="D56" s="7">
        <v>66996</v>
      </c>
      <c r="E56" s="7">
        <v>31165</v>
      </c>
      <c r="F56" s="7">
        <v>17156</v>
      </c>
      <c r="G56" s="8">
        <v>0</v>
      </c>
      <c r="H56" s="7">
        <v>300211</v>
      </c>
      <c r="I56" s="7">
        <v>317367</v>
      </c>
    </row>
    <row r="57" spans="1:9">
      <c r="A57" s="3">
        <f>'5w5 18年调增提取'!B58</f>
        <v>95</v>
      </c>
      <c r="B57" s="6">
        <v>54</v>
      </c>
      <c r="C57" s="7">
        <v>12492</v>
      </c>
      <c r="D57" s="7">
        <v>68336</v>
      </c>
      <c r="E57" s="7">
        <v>24984</v>
      </c>
      <c r="F57" s="7">
        <v>13816</v>
      </c>
      <c r="G57" s="8">
        <v>0</v>
      </c>
      <c r="H57" s="7">
        <v>256037</v>
      </c>
      <c r="I57" s="7">
        <v>269853</v>
      </c>
    </row>
    <row r="58" spans="1:9">
      <c r="A58" s="3">
        <f>'5w5 18年调增提取'!B59</f>
        <v>96</v>
      </c>
      <c r="B58" s="9">
        <v>55</v>
      </c>
      <c r="C58" s="10">
        <v>9508</v>
      </c>
      <c r="D58" s="10">
        <v>69703</v>
      </c>
      <c r="E58" s="10">
        <v>19016</v>
      </c>
      <c r="F58" s="10">
        <v>10544</v>
      </c>
      <c r="G58" s="11">
        <v>0</v>
      </c>
      <c r="H58" s="10">
        <v>207271</v>
      </c>
      <c r="I58" s="10">
        <v>217815</v>
      </c>
    </row>
    <row r="59" spans="1:9">
      <c r="A59" s="3">
        <f>'5w5 18年调增提取'!B60</f>
        <v>97</v>
      </c>
      <c r="B59" s="3">
        <v>56</v>
      </c>
      <c r="C59" s="4">
        <v>6626</v>
      </c>
      <c r="D59" s="4">
        <v>71097</v>
      </c>
      <c r="E59" s="4">
        <v>13252</v>
      </c>
      <c r="F59" s="4">
        <v>7368</v>
      </c>
      <c r="G59" s="5">
        <v>0</v>
      </c>
      <c r="H59" s="4">
        <v>153615</v>
      </c>
      <c r="I59" s="4">
        <v>160983</v>
      </c>
    </row>
    <row r="60" spans="1:9">
      <c r="A60" s="3">
        <f>'5w5 18年调增提取'!B61</f>
        <v>98</v>
      </c>
      <c r="B60" s="6">
        <v>57</v>
      </c>
      <c r="C60" s="7">
        <v>3842</v>
      </c>
      <c r="D60" s="7">
        <v>72519</v>
      </c>
      <c r="E60" s="7">
        <v>7685</v>
      </c>
      <c r="F60" s="7">
        <v>4284</v>
      </c>
      <c r="G60" s="8">
        <v>0</v>
      </c>
      <c r="H60" s="7">
        <v>94721</v>
      </c>
      <c r="I60" s="7">
        <v>99005</v>
      </c>
    </row>
    <row r="61" spans="1:9">
      <c r="A61" s="3">
        <f>'5w5 18年调增提取'!B62</f>
        <v>99</v>
      </c>
      <c r="B61" s="6">
        <v>58</v>
      </c>
      <c r="C61" s="7">
        <v>1153</v>
      </c>
      <c r="D61" s="7">
        <v>73969</v>
      </c>
      <c r="E61" s="7">
        <v>2307</v>
      </c>
      <c r="F61" s="7">
        <v>1290</v>
      </c>
      <c r="G61" s="8">
        <v>0</v>
      </c>
      <c r="H61" s="7">
        <v>30232</v>
      </c>
      <c r="I61" s="7">
        <v>31522</v>
      </c>
    </row>
    <row r="62" spans="1:9">
      <c r="A62" s="3">
        <f>'5w5 18年调增提取'!B63</f>
        <v>100</v>
      </c>
      <c r="B62" s="9">
        <v>59</v>
      </c>
      <c r="C62" s="11">
        <v>0</v>
      </c>
      <c r="D62" s="10">
        <v>33584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</row>
  </sheetData>
  <mergeCells count="8">
    <mergeCell ref="F1:I1"/>
    <mergeCell ref="G2:H2"/>
    <mergeCell ref="I2:I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1AAA-B5C2-914E-9788-246D4228A68E}">
  <dimension ref="A1:T105"/>
  <sheetViews>
    <sheetView tabSelected="1" workbookViewId="0">
      <selection activeCell="C63" sqref="C63"/>
    </sheetView>
  </sheetViews>
  <sheetFormatPr baseColWidth="10" defaultRowHeight="16"/>
  <sheetData>
    <row r="1" spans="1:20">
      <c r="A1" s="48" t="s">
        <v>31</v>
      </c>
      <c r="B1" s="48" t="s">
        <v>30</v>
      </c>
      <c r="C1" s="37" t="s">
        <v>7</v>
      </c>
      <c r="D1" s="38" t="s">
        <v>8</v>
      </c>
      <c r="E1" s="40" t="s">
        <v>22</v>
      </c>
      <c r="F1" s="42" t="s">
        <v>23</v>
      </c>
      <c r="G1" s="28" t="s">
        <v>24</v>
      </c>
      <c r="H1" s="29"/>
      <c r="I1" s="29"/>
      <c r="J1" s="30"/>
    </row>
    <row r="2" spans="1:20">
      <c r="A2" s="48"/>
      <c r="B2" s="48"/>
      <c r="C2" s="35"/>
      <c r="D2" s="39"/>
      <c r="E2" s="41"/>
      <c r="F2" s="43"/>
      <c r="G2" s="1" t="s">
        <v>25</v>
      </c>
      <c r="H2" s="31" t="s">
        <v>12</v>
      </c>
      <c r="I2" s="32"/>
      <c r="J2" s="33" t="s">
        <v>13</v>
      </c>
    </row>
    <row r="3" spans="1:20" ht="30">
      <c r="A3" s="48"/>
      <c r="B3" s="48"/>
      <c r="C3" s="36"/>
      <c r="D3" s="45"/>
      <c r="E3" s="46"/>
      <c r="F3" s="47"/>
      <c r="G3" s="2" t="s">
        <v>17</v>
      </c>
      <c r="H3" s="2" t="s">
        <v>18</v>
      </c>
      <c r="I3" s="2" t="s">
        <v>19</v>
      </c>
      <c r="J3" s="44"/>
      <c r="L3" s="13" t="s">
        <v>5</v>
      </c>
      <c r="M3" s="13" t="s">
        <v>0</v>
      </c>
      <c r="N3" s="13" t="s">
        <v>1</v>
      </c>
      <c r="O3" s="13" t="s">
        <v>26</v>
      </c>
      <c r="P3" s="13" t="s">
        <v>2</v>
      </c>
      <c r="Q3" s="13" t="s">
        <v>3</v>
      </c>
    </row>
    <row r="4" spans="1:20">
      <c r="A4" s="6"/>
      <c r="B4" s="6"/>
      <c r="C4" s="18"/>
      <c r="D4" s="23"/>
      <c r="E4" s="24"/>
      <c r="F4" s="25"/>
      <c r="G4" s="12"/>
      <c r="H4" s="12"/>
      <c r="I4" s="12"/>
      <c r="J4" s="26"/>
      <c r="L4" s="13">
        <v>0</v>
      </c>
      <c r="M4" s="14">
        <f>-D5</f>
        <v>-50000</v>
      </c>
      <c r="N4" s="13"/>
      <c r="O4" s="13"/>
      <c r="P4" s="13"/>
      <c r="Q4" s="14">
        <f>M4+N4+P4+O4</f>
        <v>-50000</v>
      </c>
      <c r="T4" s="27">
        <v>0.14000000000000001</v>
      </c>
    </row>
    <row r="5" spans="1:20">
      <c r="A5" s="6">
        <f>'提取参考：第18年15%持续提取'!A5</f>
        <v>68</v>
      </c>
      <c r="B5" s="6">
        <v>42</v>
      </c>
      <c r="C5" s="3">
        <v>1</v>
      </c>
      <c r="D5" s="4">
        <v>50000</v>
      </c>
      <c r="E5" s="5">
        <v>0</v>
      </c>
      <c r="F5" s="4">
        <v>512296</v>
      </c>
      <c r="G5" s="5">
        <v>51</v>
      </c>
      <c r="H5" s="5">
        <v>0</v>
      </c>
      <c r="I5" s="5">
        <v>0</v>
      </c>
      <c r="J5" s="5">
        <v>51</v>
      </c>
      <c r="L5" s="15">
        <f>C5</f>
        <v>1</v>
      </c>
      <c r="M5" s="14">
        <f>M4</f>
        <v>-50000</v>
      </c>
      <c r="N5" s="13"/>
      <c r="O5" s="13">
        <f>D5*T4</f>
        <v>7000.0000000000009</v>
      </c>
      <c r="P5" s="13"/>
      <c r="Q5" s="14">
        <f t="shared" ref="Q5:Q68" si="0">M5+N5+P5+O5</f>
        <v>-43000</v>
      </c>
    </row>
    <row r="6" spans="1:20">
      <c r="A6" s="6">
        <f>'提取参考：第18年15%持续提取'!A6</f>
        <v>69</v>
      </c>
      <c r="B6" s="6">
        <v>43</v>
      </c>
      <c r="C6" s="6">
        <v>2</v>
      </c>
      <c r="D6" s="7">
        <v>100000</v>
      </c>
      <c r="E6" s="8">
        <v>0</v>
      </c>
      <c r="F6" s="7">
        <v>512296</v>
      </c>
      <c r="G6" s="8">
        <v>51</v>
      </c>
      <c r="H6" s="8">
        <v>0</v>
      </c>
      <c r="I6" s="8">
        <v>0</v>
      </c>
      <c r="J6" s="8">
        <v>51</v>
      </c>
      <c r="L6" s="15">
        <f t="shared" ref="L6:L69" si="1">C6</f>
        <v>2</v>
      </c>
      <c r="M6" s="14">
        <f t="shared" ref="M6:M8" si="2">M5</f>
        <v>-50000</v>
      </c>
      <c r="N6" s="13"/>
      <c r="O6" s="13"/>
      <c r="P6" s="13"/>
      <c r="Q6" s="14">
        <f t="shared" si="0"/>
        <v>-50000</v>
      </c>
    </row>
    <row r="7" spans="1:20">
      <c r="A7" s="6">
        <f>'提取参考：第18年15%持续提取'!A7</f>
        <v>70</v>
      </c>
      <c r="B7" s="6">
        <v>44</v>
      </c>
      <c r="C7" s="6">
        <v>3</v>
      </c>
      <c r="D7" s="7">
        <v>150000</v>
      </c>
      <c r="E7" s="8">
        <v>0</v>
      </c>
      <c r="F7" s="7">
        <v>512296</v>
      </c>
      <c r="G7" s="7">
        <v>13320</v>
      </c>
      <c r="H7" s="7">
        <v>4150</v>
      </c>
      <c r="I7" s="7">
        <v>7747</v>
      </c>
      <c r="J7" s="7">
        <v>25216</v>
      </c>
      <c r="L7" s="15">
        <f t="shared" si="1"/>
        <v>3</v>
      </c>
      <c r="M7" s="14">
        <f t="shared" si="2"/>
        <v>-50000</v>
      </c>
      <c r="N7" s="13"/>
      <c r="O7" s="13"/>
      <c r="P7" s="13"/>
      <c r="Q7" s="14">
        <f t="shared" si="0"/>
        <v>-50000</v>
      </c>
    </row>
    <row r="8" spans="1:20">
      <c r="A8" s="6">
        <f>'提取参考：第18年15%持续提取'!A8</f>
        <v>71</v>
      </c>
      <c r="B8" s="6">
        <v>45</v>
      </c>
      <c r="C8" s="6">
        <v>4</v>
      </c>
      <c r="D8" s="7">
        <v>200000</v>
      </c>
      <c r="E8" s="8">
        <v>0</v>
      </c>
      <c r="F8" s="7">
        <v>512296</v>
      </c>
      <c r="G8" s="7">
        <v>37398</v>
      </c>
      <c r="H8" s="7">
        <v>8361</v>
      </c>
      <c r="I8" s="7">
        <v>17182</v>
      </c>
      <c r="J8" s="7">
        <v>62941</v>
      </c>
      <c r="L8" s="15">
        <f t="shared" si="1"/>
        <v>4</v>
      </c>
      <c r="M8" s="14">
        <f t="shared" si="2"/>
        <v>-50000</v>
      </c>
      <c r="N8" s="13"/>
      <c r="O8" s="13"/>
      <c r="P8" s="13"/>
      <c r="Q8" s="14">
        <f t="shared" si="0"/>
        <v>-50000</v>
      </c>
    </row>
    <row r="9" spans="1:20">
      <c r="A9" s="6">
        <f>'提取参考：第18年15%持续提取'!A9</f>
        <v>72</v>
      </c>
      <c r="B9" s="6">
        <v>46</v>
      </c>
      <c r="C9" s="9">
        <v>5</v>
      </c>
      <c r="D9" s="10">
        <v>250000</v>
      </c>
      <c r="E9" s="11">
        <v>0</v>
      </c>
      <c r="F9" s="10">
        <v>512296</v>
      </c>
      <c r="G9" s="10">
        <v>70697</v>
      </c>
      <c r="H9" s="10">
        <v>12636</v>
      </c>
      <c r="I9" s="10">
        <v>34121</v>
      </c>
      <c r="J9" s="10">
        <v>117454</v>
      </c>
      <c r="L9" s="15">
        <f t="shared" si="1"/>
        <v>5</v>
      </c>
      <c r="M9" s="13"/>
      <c r="N9" s="13"/>
      <c r="O9" s="13"/>
      <c r="P9" s="13"/>
      <c r="Q9" s="14">
        <f t="shared" si="0"/>
        <v>0</v>
      </c>
    </row>
    <row r="10" spans="1:20">
      <c r="A10" s="6">
        <f>'提取参考：第18年15%持续提取'!A10</f>
        <v>73</v>
      </c>
      <c r="B10" s="6">
        <v>47</v>
      </c>
      <c r="C10" s="3">
        <v>6</v>
      </c>
      <c r="D10" s="4">
        <v>250000</v>
      </c>
      <c r="E10" s="5">
        <v>0</v>
      </c>
      <c r="F10" s="4">
        <v>512296</v>
      </c>
      <c r="G10" s="4">
        <v>93238</v>
      </c>
      <c r="H10" s="4">
        <v>16976</v>
      </c>
      <c r="I10" s="4">
        <v>109559</v>
      </c>
      <c r="J10" s="4">
        <v>219773</v>
      </c>
      <c r="L10" s="15">
        <f t="shared" si="1"/>
        <v>6</v>
      </c>
      <c r="M10" s="13"/>
      <c r="N10" s="14">
        <f>E10</f>
        <v>0</v>
      </c>
      <c r="O10" s="14"/>
      <c r="P10" s="13"/>
      <c r="Q10" s="14">
        <f t="shared" si="0"/>
        <v>0</v>
      </c>
    </row>
    <row r="11" spans="1:20">
      <c r="A11" s="6">
        <f>'提取参考：第18年15%持续提取'!A11</f>
        <v>74</v>
      </c>
      <c r="B11" s="6">
        <v>48</v>
      </c>
      <c r="C11" s="6">
        <v>7</v>
      </c>
      <c r="D11" s="7">
        <v>250000</v>
      </c>
      <c r="E11" s="8">
        <v>0</v>
      </c>
      <c r="F11" s="7">
        <v>512296</v>
      </c>
      <c r="G11" s="7">
        <v>115267</v>
      </c>
      <c r="H11" s="7">
        <v>21380</v>
      </c>
      <c r="I11" s="7">
        <v>115808</v>
      </c>
      <c r="J11" s="7">
        <v>252454</v>
      </c>
      <c r="L11" s="15">
        <f t="shared" si="1"/>
        <v>7</v>
      </c>
      <c r="M11" s="13"/>
      <c r="N11" s="14">
        <f t="shared" ref="N11:N74" si="3">E11</f>
        <v>0</v>
      </c>
      <c r="O11" s="14"/>
      <c r="P11" s="13"/>
      <c r="Q11" s="14">
        <f t="shared" si="0"/>
        <v>0</v>
      </c>
    </row>
    <row r="12" spans="1:20">
      <c r="A12" s="6">
        <f>'提取参考：第18年15%持续提取'!A12</f>
        <v>75</v>
      </c>
      <c r="B12" s="6">
        <v>49</v>
      </c>
      <c r="C12" s="6">
        <v>8</v>
      </c>
      <c r="D12" s="7">
        <v>250000</v>
      </c>
      <c r="E12" s="8">
        <v>0</v>
      </c>
      <c r="F12" s="7">
        <v>512296</v>
      </c>
      <c r="G12" s="7">
        <v>148566</v>
      </c>
      <c r="H12" s="7">
        <v>25850</v>
      </c>
      <c r="I12" s="7">
        <v>116778</v>
      </c>
      <c r="J12" s="7">
        <v>291194</v>
      </c>
      <c r="L12" s="15">
        <f t="shared" si="1"/>
        <v>8</v>
      </c>
      <c r="M12" s="13"/>
      <c r="N12" s="14">
        <f t="shared" si="3"/>
        <v>0</v>
      </c>
      <c r="O12" s="14"/>
      <c r="P12" s="13"/>
      <c r="Q12" s="14">
        <f t="shared" si="0"/>
        <v>0</v>
      </c>
    </row>
    <row r="13" spans="1:20">
      <c r="A13" s="6">
        <f>'提取参考：第18年15%持续提取'!A13</f>
        <v>76</v>
      </c>
      <c r="B13" s="6">
        <v>50</v>
      </c>
      <c r="C13" s="6">
        <v>9</v>
      </c>
      <c r="D13" s="7">
        <v>250000</v>
      </c>
      <c r="E13" s="8">
        <v>0</v>
      </c>
      <c r="F13" s="7">
        <v>512296</v>
      </c>
      <c r="G13" s="7">
        <v>153177</v>
      </c>
      <c r="H13" s="7">
        <v>30387</v>
      </c>
      <c r="I13" s="7">
        <v>127531</v>
      </c>
      <c r="J13" s="7">
        <v>311095</v>
      </c>
      <c r="L13" s="15">
        <f t="shared" si="1"/>
        <v>9</v>
      </c>
      <c r="M13" s="13"/>
      <c r="N13" s="14">
        <f t="shared" si="3"/>
        <v>0</v>
      </c>
      <c r="O13" s="14"/>
      <c r="P13" s="13"/>
      <c r="Q13" s="14">
        <f t="shared" si="0"/>
        <v>0</v>
      </c>
    </row>
    <row r="14" spans="1:20">
      <c r="A14" s="6">
        <f>'提取参考：第18年15%持续提取'!A14</f>
        <v>77</v>
      </c>
      <c r="B14" s="6">
        <v>51</v>
      </c>
      <c r="C14" s="9">
        <v>10</v>
      </c>
      <c r="D14" s="10">
        <v>250000</v>
      </c>
      <c r="E14" s="11">
        <v>0</v>
      </c>
      <c r="F14" s="10">
        <v>512296</v>
      </c>
      <c r="G14" s="10">
        <v>157275</v>
      </c>
      <c r="H14" s="10">
        <v>31337</v>
      </c>
      <c r="I14" s="10">
        <v>140257</v>
      </c>
      <c r="J14" s="10">
        <v>328869</v>
      </c>
      <c r="L14" s="15">
        <f t="shared" si="1"/>
        <v>10</v>
      </c>
      <c r="M14" s="13"/>
      <c r="N14" s="14">
        <f t="shared" si="3"/>
        <v>0</v>
      </c>
      <c r="O14" s="14"/>
      <c r="P14" s="13"/>
      <c r="Q14" s="14">
        <f t="shared" si="0"/>
        <v>0</v>
      </c>
    </row>
    <row r="15" spans="1:20">
      <c r="A15" s="6">
        <f>'提取参考：第18年15%持续提取'!A15</f>
        <v>78</v>
      </c>
      <c r="B15" s="6">
        <v>52</v>
      </c>
      <c r="C15" s="3">
        <v>11</v>
      </c>
      <c r="D15" s="4">
        <v>250000</v>
      </c>
      <c r="E15" s="5">
        <v>0</v>
      </c>
      <c r="F15" s="4">
        <v>512296</v>
      </c>
      <c r="G15" s="4">
        <v>162398</v>
      </c>
      <c r="H15" s="4">
        <v>32310</v>
      </c>
      <c r="I15" s="4">
        <v>157936</v>
      </c>
      <c r="J15" s="4">
        <v>352643</v>
      </c>
      <c r="L15" s="15">
        <f t="shared" si="1"/>
        <v>11</v>
      </c>
      <c r="M15" s="13"/>
      <c r="N15" s="14">
        <f t="shared" si="3"/>
        <v>0</v>
      </c>
      <c r="O15" s="14"/>
      <c r="P15" s="13"/>
      <c r="Q15" s="14">
        <f t="shared" si="0"/>
        <v>0</v>
      </c>
    </row>
    <row r="16" spans="1:20">
      <c r="A16" s="6">
        <f>'提取参考：第18年15%持续提取'!A16</f>
        <v>79</v>
      </c>
      <c r="B16" s="6">
        <v>53</v>
      </c>
      <c r="C16" s="6">
        <v>12</v>
      </c>
      <c r="D16" s="7">
        <v>250000</v>
      </c>
      <c r="E16" s="8">
        <v>0</v>
      </c>
      <c r="F16" s="7">
        <v>512296</v>
      </c>
      <c r="G16" s="7">
        <v>167008</v>
      </c>
      <c r="H16" s="7">
        <v>33306</v>
      </c>
      <c r="I16" s="7">
        <v>177321</v>
      </c>
      <c r="J16" s="7">
        <v>377635</v>
      </c>
      <c r="L16" s="15">
        <f t="shared" si="1"/>
        <v>12</v>
      </c>
      <c r="M16" s="13"/>
      <c r="N16" s="14">
        <f t="shared" si="3"/>
        <v>0</v>
      </c>
      <c r="O16" s="14"/>
      <c r="P16" s="13"/>
      <c r="Q16" s="14">
        <f t="shared" si="0"/>
        <v>0</v>
      </c>
    </row>
    <row r="17" spans="1:17">
      <c r="A17" s="6">
        <f>'提取参考：第18年15%持续提取'!A17</f>
        <v>80</v>
      </c>
      <c r="B17" s="6">
        <v>54</v>
      </c>
      <c r="C17" s="6">
        <v>13</v>
      </c>
      <c r="D17" s="7">
        <v>250000</v>
      </c>
      <c r="E17" s="8">
        <v>0</v>
      </c>
      <c r="F17" s="7">
        <v>512296</v>
      </c>
      <c r="G17" s="7">
        <v>172131</v>
      </c>
      <c r="H17" s="7">
        <v>34327</v>
      </c>
      <c r="I17" s="7">
        <v>197878</v>
      </c>
      <c r="J17" s="7">
        <v>404336</v>
      </c>
      <c r="L17" s="15">
        <f t="shared" si="1"/>
        <v>13</v>
      </c>
      <c r="M17" s="13"/>
      <c r="N17" s="14">
        <f t="shared" si="3"/>
        <v>0</v>
      </c>
      <c r="O17" s="14"/>
      <c r="P17" s="13"/>
      <c r="Q17" s="14">
        <f t="shared" si="0"/>
        <v>0</v>
      </c>
    </row>
    <row r="18" spans="1:17">
      <c r="A18" s="6">
        <f>'提取参考：第18年15%持续提取'!A18</f>
        <v>81</v>
      </c>
      <c r="B18" s="6">
        <v>55</v>
      </c>
      <c r="C18" s="6">
        <v>14</v>
      </c>
      <c r="D18" s="7">
        <v>250000</v>
      </c>
      <c r="E18" s="8">
        <v>0</v>
      </c>
      <c r="F18" s="7">
        <v>512296</v>
      </c>
      <c r="G18" s="7">
        <v>177254</v>
      </c>
      <c r="H18" s="7">
        <v>35373</v>
      </c>
      <c r="I18" s="7">
        <v>221258</v>
      </c>
      <c r="J18" s="7">
        <v>433886</v>
      </c>
      <c r="L18" s="15">
        <f t="shared" si="1"/>
        <v>14</v>
      </c>
      <c r="M18" s="13"/>
      <c r="N18" s="14">
        <f t="shared" si="3"/>
        <v>0</v>
      </c>
      <c r="O18" s="14"/>
      <c r="P18" s="13"/>
      <c r="Q18" s="14">
        <f t="shared" si="0"/>
        <v>0</v>
      </c>
    </row>
    <row r="19" spans="1:17">
      <c r="A19" s="6">
        <f>'提取参考：第18年15%持续提取'!A19</f>
        <v>82</v>
      </c>
      <c r="B19" s="6">
        <v>56</v>
      </c>
      <c r="C19" s="9">
        <v>15</v>
      </c>
      <c r="D19" s="10">
        <v>250000</v>
      </c>
      <c r="E19" s="11">
        <v>0</v>
      </c>
      <c r="F19" s="10">
        <v>512296</v>
      </c>
      <c r="G19" s="10">
        <v>182377</v>
      </c>
      <c r="H19" s="10">
        <v>36444</v>
      </c>
      <c r="I19" s="10">
        <v>246384</v>
      </c>
      <c r="J19" s="10">
        <v>465206</v>
      </c>
      <c r="L19" s="15">
        <f t="shared" si="1"/>
        <v>15</v>
      </c>
      <c r="M19" s="13"/>
      <c r="N19" s="14">
        <f t="shared" si="3"/>
        <v>0</v>
      </c>
      <c r="O19" s="14"/>
      <c r="P19" s="13"/>
      <c r="Q19" s="14">
        <f t="shared" si="0"/>
        <v>0</v>
      </c>
    </row>
    <row r="20" spans="1:17">
      <c r="A20" s="6">
        <f>'提取参考：第18年15%持续提取'!A20</f>
        <v>83</v>
      </c>
      <c r="B20" s="6">
        <v>57</v>
      </c>
      <c r="C20" s="3">
        <v>16</v>
      </c>
      <c r="D20" s="4">
        <v>250000</v>
      </c>
      <c r="E20" s="5">
        <v>0</v>
      </c>
      <c r="F20" s="4">
        <v>512296</v>
      </c>
      <c r="G20" s="4">
        <v>194672</v>
      </c>
      <c r="H20" s="4">
        <v>37542</v>
      </c>
      <c r="I20" s="4">
        <v>268321</v>
      </c>
      <c r="J20" s="4">
        <v>500536</v>
      </c>
      <c r="L20" s="15">
        <f t="shared" si="1"/>
        <v>16</v>
      </c>
      <c r="M20" s="13"/>
      <c r="N20" s="14">
        <f t="shared" si="3"/>
        <v>0</v>
      </c>
      <c r="O20" s="14"/>
      <c r="P20" s="13"/>
      <c r="Q20" s="14">
        <f t="shared" si="0"/>
        <v>0</v>
      </c>
    </row>
    <row r="21" spans="1:17">
      <c r="A21" s="6">
        <f>'提取参考：第18年15%持续提取'!A21</f>
        <v>84</v>
      </c>
      <c r="B21" s="6">
        <v>58</v>
      </c>
      <c r="C21" s="6">
        <v>17</v>
      </c>
      <c r="D21" s="7">
        <v>250000</v>
      </c>
      <c r="E21" s="8">
        <v>0</v>
      </c>
      <c r="F21" s="7">
        <v>512296</v>
      </c>
      <c r="G21" s="7">
        <v>207480</v>
      </c>
      <c r="H21" s="7">
        <v>38667</v>
      </c>
      <c r="I21" s="7">
        <v>292561</v>
      </c>
      <c r="J21" s="7">
        <v>538708</v>
      </c>
      <c r="L21" s="15">
        <f t="shared" si="1"/>
        <v>17</v>
      </c>
      <c r="M21" s="13"/>
      <c r="N21" s="14">
        <f t="shared" si="3"/>
        <v>0</v>
      </c>
      <c r="O21" s="14"/>
      <c r="P21" s="13"/>
      <c r="Q21" s="14">
        <f t="shared" si="0"/>
        <v>0</v>
      </c>
    </row>
    <row r="22" spans="1:17">
      <c r="A22" s="6">
        <f>'提取参考：第18年15%持续提取'!A22</f>
        <v>85</v>
      </c>
      <c r="B22" s="6">
        <v>59</v>
      </c>
      <c r="C22" s="6">
        <v>18</v>
      </c>
      <c r="D22" s="7">
        <v>250000</v>
      </c>
      <c r="E22" s="7">
        <v>22500</v>
      </c>
      <c r="F22" s="7">
        <v>512296</v>
      </c>
      <c r="G22" s="7">
        <v>250513</v>
      </c>
      <c r="H22" s="7">
        <v>25133</v>
      </c>
      <c r="I22" s="7">
        <v>285912</v>
      </c>
      <c r="J22" s="7">
        <v>561557</v>
      </c>
      <c r="L22" s="15">
        <f t="shared" si="1"/>
        <v>18</v>
      </c>
      <c r="M22" s="13"/>
      <c r="N22" s="14">
        <f t="shared" si="3"/>
        <v>22500</v>
      </c>
      <c r="O22" s="14"/>
      <c r="P22" s="13"/>
      <c r="Q22" s="14">
        <f t="shared" si="0"/>
        <v>22500</v>
      </c>
    </row>
    <row r="23" spans="1:17">
      <c r="A23" s="6">
        <f>'提取参考：第18年15%持续提取'!A23</f>
        <v>86</v>
      </c>
      <c r="B23" s="6">
        <v>60</v>
      </c>
      <c r="C23" s="6">
        <v>19</v>
      </c>
      <c r="D23" s="7">
        <v>250000</v>
      </c>
      <c r="E23" s="7">
        <v>22950</v>
      </c>
      <c r="F23" s="7">
        <v>512296</v>
      </c>
      <c r="G23" s="7">
        <v>252562</v>
      </c>
      <c r="H23" s="7">
        <v>11681</v>
      </c>
      <c r="I23" s="7">
        <v>318578</v>
      </c>
      <c r="J23" s="7">
        <v>582821</v>
      </c>
      <c r="L23" s="15">
        <f t="shared" si="1"/>
        <v>19</v>
      </c>
      <c r="M23" s="13"/>
      <c r="N23" s="14">
        <f t="shared" si="3"/>
        <v>22950</v>
      </c>
      <c r="O23" s="14"/>
      <c r="P23" s="13"/>
      <c r="Q23" s="14">
        <f t="shared" si="0"/>
        <v>22950</v>
      </c>
    </row>
    <row r="24" spans="1:17">
      <c r="A24" s="6">
        <f>'提取参考：第18年15%持续提取'!A24</f>
        <v>87</v>
      </c>
      <c r="B24" s="6">
        <v>61</v>
      </c>
      <c r="C24" s="9">
        <v>20</v>
      </c>
      <c r="D24" s="10">
        <v>248819</v>
      </c>
      <c r="E24" s="10">
        <v>23409</v>
      </c>
      <c r="F24" s="10">
        <v>509874</v>
      </c>
      <c r="G24" s="10">
        <v>251878</v>
      </c>
      <c r="H24" s="11">
        <v>0</v>
      </c>
      <c r="I24" s="10">
        <v>350793</v>
      </c>
      <c r="J24" s="10">
        <v>602671</v>
      </c>
      <c r="L24" s="15">
        <f t="shared" si="1"/>
        <v>20</v>
      </c>
      <c r="M24" s="13"/>
      <c r="N24" s="14">
        <f t="shared" si="3"/>
        <v>23409</v>
      </c>
      <c r="O24" s="14"/>
      <c r="P24" s="13"/>
      <c r="Q24" s="14">
        <f t="shared" si="0"/>
        <v>23409</v>
      </c>
    </row>
    <row r="25" spans="1:17">
      <c r="A25" s="6">
        <f>'提取参考：第18年15%持续提取'!A25</f>
        <v>88</v>
      </c>
      <c r="B25" s="6">
        <v>62</v>
      </c>
      <c r="C25" s="3">
        <v>21</v>
      </c>
      <c r="D25" s="4">
        <v>240676</v>
      </c>
      <c r="E25" s="4">
        <v>23877</v>
      </c>
      <c r="F25" s="4">
        <v>491677</v>
      </c>
      <c r="G25" s="4">
        <v>243380</v>
      </c>
      <c r="H25" s="5">
        <v>0</v>
      </c>
      <c r="I25" s="4">
        <v>391867</v>
      </c>
      <c r="J25" s="4">
        <v>635247</v>
      </c>
      <c r="L25" s="15">
        <f t="shared" si="1"/>
        <v>21</v>
      </c>
      <c r="M25" s="13"/>
      <c r="N25" s="14">
        <f t="shared" si="3"/>
        <v>23877</v>
      </c>
      <c r="O25" s="14"/>
      <c r="P25" s="13"/>
      <c r="Q25" s="14">
        <f t="shared" si="0"/>
        <v>23877</v>
      </c>
    </row>
    <row r="26" spans="1:17">
      <c r="A26" s="6">
        <f>'提取参考：第18年15%持续提取'!A26</f>
        <v>89</v>
      </c>
      <c r="B26" s="6">
        <v>63</v>
      </c>
      <c r="C26" s="6">
        <v>22</v>
      </c>
      <c r="D26" s="7">
        <v>232339</v>
      </c>
      <c r="E26" s="7">
        <v>24355</v>
      </c>
      <c r="F26" s="7">
        <v>474647</v>
      </c>
      <c r="G26" s="7">
        <v>235425</v>
      </c>
      <c r="H26" s="8">
        <v>0</v>
      </c>
      <c r="I26" s="7">
        <v>432878</v>
      </c>
      <c r="J26" s="7">
        <v>668302</v>
      </c>
      <c r="L26" s="15">
        <f t="shared" si="1"/>
        <v>22</v>
      </c>
      <c r="M26" s="13"/>
      <c r="N26" s="14">
        <f t="shared" si="3"/>
        <v>24355</v>
      </c>
      <c r="O26" s="14"/>
      <c r="P26" s="13"/>
      <c r="Q26" s="14">
        <f t="shared" si="0"/>
        <v>24355</v>
      </c>
    </row>
    <row r="27" spans="1:17">
      <c r="A27" s="6">
        <f>'提取参考：第18年15%持续提取'!A27</f>
        <v>90</v>
      </c>
      <c r="B27" s="6">
        <v>64</v>
      </c>
      <c r="C27" s="6">
        <v>23</v>
      </c>
      <c r="D27" s="7">
        <v>224551</v>
      </c>
      <c r="E27" s="7">
        <v>24842</v>
      </c>
      <c r="F27" s="7">
        <v>458736</v>
      </c>
      <c r="G27" s="7">
        <v>227992</v>
      </c>
      <c r="H27" s="8">
        <v>0</v>
      </c>
      <c r="I27" s="7">
        <v>477085</v>
      </c>
      <c r="J27" s="7">
        <v>705077</v>
      </c>
      <c r="L27" s="15">
        <f t="shared" si="1"/>
        <v>23</v>
      </c>
      <c r="M27" s="13"/>
      <c r="N27" s="14">
        <f t="shared" si="3"/>
        <v>24842</v>
      </c>
      <c r="O27" s="14"/>
      <c r="P27" s="13"/>
      <c r="Q27" s="14">
        <f t="shared" si="0"/>
        <v>24842</v>
      </c>
    </row>
    <row r="28" spans="1:17">
      <c r="A28" s="6">
        <f>'提取参考：第18年15%持续提取'!A28</f>
        <v>91</v>
      </c>
      <c r="B28" s="6">
        <v>65</v>
      </c>
      <c r="C28" s="6">
        <v>24</v>
      </c>
      <c r="D28" s="7">
        <v>217187</v>
      </c>
      <c r="E28" s="7">
        <v>25339</v>
      </c>
      <c r="F28" s="7">
        <v>443692</v>
      </c>
      <c r="G28" s="7">
        <v>220959</v>
      </c>
      <c r="H28" s="8">
        <v>0</v>
      </c>
      <c r="I28" s="7">
        <v>514683</v>
      </c>
      <c r="J28" s="7">
        <v>735641</v>
      </c>
      <c r="L28" s="15">
        <f t="shared" si="1"/>
        <v>24</v>
      </c>
      <c r="M28" s="13"/>
      <c r="N28" s="14">
        <f t="shared" si="3"/>
        <v>25339</v>
      </c>
      <c r="O28" s="14"/>
      <c r="P28" s="13"/>
      <c r="Q28" s="14">
        <f t="shared" si="0"/>
        <v>25339</v>
      </c>
    </row>
    <row r="29" spans="1:17">
      <c r="A29" s="6">
        <f>'提取参考：第18年15%持续提取'!A29</f>
        <v>92</v>
      </c>
      <c r="B29" s="6">
        <v>66</v>
      </c>
      <c r="C29" s="9">
        <v>25</v>
      </c>
      <c r="D29" s="10">
        <v>210227</v>
      </c>
      <c r="E29" s="10">
        <v>25845</v>
      </c>
      <c r="F29" s="10">
        <v>429473</v>
      </c>
      <c r="G29" s="10">
        <v>214307</v>
      </c>
      <c r="H29" s="11">
        <v>0</v>
      </c>
      <c r="I29" s="10">
        <v>554020</v>
      </c>
      <c r="J29" s="10">
        <v>768326</v>
      </c>
      <c r="L29" s="15">
        <f t="shared" si="1"/>
        <v>25</v>
      </c>
      <c r="M29" s="13"/>
      <c r="N29" s="14">
        <f t="shared" si="3"/>
        <v>25845</v>
      </c>
      <c r="O29" s="14"/>
      <c r="P29" s="13"/>
      <c r="Q29" s="14">
        <f t="shared" si="0"/>
        <v>25845</v>
      </c>
    </row>
    <row r="30" spans="1:17">
      <c r="A30" s="6">
        <f>'提取参考：第18年15%持续提取'!A30</f>
        <v>93</v>
      </c>
      <c r="B30" s="6">
        <v>67</v>
      </c>
      <c r="C30" s="3">
        <v>26</v>
      </c>
      <c r="D30" s="4">
        <v>203643</v>
      </c>
      <c r="E30" s="4">
        <v>26362</v>
      </c>
      <c r="F30" s="4">
        <v>416023</v>
      </c>
      <c r="G30" s="4">
        <v>208011</v>
      </c>
      <c r="H30" s="5">
        <v>0</v>
      </c>
      <c r="I30" s="4">
        <v>594497</v>
      </c>
      <c r="J30" s="4">
        <v>802508</v>
      </c>
      <c r="L30" s="15">
        <f t="shared" si="1"/>
        <v>26</v>
      </c>
      <c r="M30" s="13"/>
      <c r="N30" s="14">
        <f t="shared" si="3"/>
        <v>26362</v>
      </c>
      <c r="O30" s="14"/>
      <c r="P30" s="13"/>
      <c r="Q30" s="14">
        <f t="shared" si="0"/>
        <v>26362</v>
      </c>
    </row>
    <row r="31" spans="1:17">
      <c r="A31" s="6">
        <f>'提取参考：第18年15%持续提取'!A31</f>
        <v>94</v>
      </c>
      <c r="B31" s="6">
        <v>68</v>
      </c>
      <c r="C31" s="6">
        <v>27</v>
      </c>
      <c r="D31" s="7">
        <v>197407</v>
      </c>
      <c r="E31" s="7">
        <v>26890</v>
      </c>
      <c r="F31" s="7">
        <v>403283</v>
      </c>
      <c r="G31" s="7">
        <v>202045</v>
      </c>
      <c r="H31" s="8">
        <v>0</v>
      </c>
      <c r="I31" s="7">
        <v>635573</v>
      </c>
      <c r="J31" s="7">
        <v>837618</v>
      </c>
      <c r="L31" s="15">
        <f t="shared" si="1"/>
        <v>27</v>
      </c>
      <c r="M31" s="13"/>
      <c r="N31" s="14">
        <f t="shared" si="3"/>
        <v>26890</v>
      </c>
      <c r="O31" s="14"/>
      <c r="P31" s="13"/>
      <c r="Q31" s="14">
        <f t="shared" si="0"/>
        <v>26890</v>
      </c>
    </row>
    <row r="32" spans="1:17">
      <c r="A32" s="6">
        <f>'提取参考：第18年15%持续提取'!A32</f>
        <v>95</v>
      </c>
      <c r="B32" s="6">
        <v>69</v>
      </c>
      <c r="C32" s="6">
        <v>28</v>
      </c>
      <c r="D32" s="7">
        <v>191448</v>
      </c>
      <c r="E32" s="7">
        <v>27427</v>
      </c>
      <c r="F32" s="7">
        <v>391109</v>
      </c>
      <c r="G32" s="7">
        <v>196337</v>
      </c>
      <c r="H32" s="8">
        <v>0</v>
      </c>
      <c r="I32" s="7">
        <v>670752</v>
      </c>
      <c r="J32" s="7">
        <v>867088</v>
      </c>
      <c r="L32" s="15">
        <f t="shared" si="1"/>
        <v>28</v>
      </c>
      <c r="M32" s="13"/>
      <c r="N32" s="14">
        <f t="shared" si="3"/>
        <v>27427</v>
      </c>
      <c r="O32" s="14"/>
      <c r="P32" s="13"/>
      <c r="Q32" s="14">
        <f t="shared" si="0"/>
        <v>27427</v>
      </c>
    </row>
    <row r="33" spans="1:17">
      <c r="A33" s="6">
        <f>'提取参考：第18年15%持续提取'!A33</f>
        <v>96</v>
      </c>
      <c r="B33" s="6">
        <v>70</v>
      </c>
      <c r="C33" s="6">
        <v>29</v>
      </c>
      <c r="D33" s="7">
        <v>185740</v>
      </c>
      <c r="E33" s="7">
        <v>27976</v>
      </c>
      <c r="F33" s="7">
        <v>379449</v>
      </c>
      <c r="G33" s="7">
        <v>190863</v>
      </c>
      <c r="H33" s="8">
        <v>0</v>
      </c>
      <c r="I33" s="7">
        <v>705016</v>
      </c>
      <c r="J33" s="7">
        <v>895879</v>
      </c>
      <c r="L33" s="15">
        <f t="shared" si="1"/>
        <v>29</v>
      </c>
      <c r="M33" s="13"/>
      <c r="N33" s="14">
        <f t="shared" si="3"/>
        <v>27976</v>
      </c>
      <c r="O33" s="14"/>
      <c r="P33" s="13"/>
      <c r="Q33" s="14">
        <f t="shared" si="0"/>
        <v>27976</v>
      </c>
    </row>
    <row r="34" spans="1:17">
      <c r="A34" s="6">
        <f>'提取参考：第18年15%持续提取'!A34</f>
        <v>97</v>
      </c>
      <c r="B34" s="6">
        <v>71</v>
      </c>
      <c r="C34" s="9">
        <v>30</v>
      </c>
      <c r="D34" s="10">
        <v>180371</v>
      </c>
      <c r="E34" s="10">
        <v>28535</v>
      </c>
      <c r="F34" s="10">
        <v>368479</v>
      </c>
      <c r="G34" s="10">
        <v>185714</v>
      </c>
      <c r="H34" s="11">
        <v>0</v>
      </c>
      <c r="I34" s="10">
        <v>757225</v>
      </c>
      <c r="J34" s="10">
        <v>942939</v>
      </c>
      <c r="L34" s="15">
        <f t="shared" si="1"/>
        <v>30</v>
      </c>
      <c r="M34" s="13"/>
      <c r="N34" s="14">
        <f t="shared" si="3"/>
        <v>28535</v>
      </c>
      <c r="O34" s="14"/>
      <c r="P34" s="13"/>
      <c r="Q34" s="14">
        <f t="shared" si="0"/>
        <v>28535</v>
      </c>
    </row>
    <row r="35" spans="1:17">
      <c r="A35" s="6">
        <f>'提取参考：第18年15%持续提取'!A35</f>
        <v>98</v>
      </c>
      <c r="B35" s="6">
        <v>72</v>
      </c>
      <c r="C35" s="3">
        <v>31</v>
      </c>
      <c r="D35" s="4">
        <v>175218</v>
      </c>
      <c r="E35" s="4">
        <v>29106</v>
      </c>
      <c r="F35" s="4">
        <v>357953</v>
      </c>
      <c r="G35" s="4">
        <v>180766</v>
      </c>
      <c r="H35" s="5">
        <v>0</v>
      </c>
      <c r="I35" s="4">
        <v>792866</v>
      </c>
      <c r="J35" s="4">
        <v>973632</v>
      </c>
      <c r="L35" s="15">
        <f t="shared" si="1"/>
        <v>31</v>
      </c>
      <c r="M35" s="13"/>
      <c r="N35" s="14">
        <f t="shared" si="3"/>
        <v>29106</v>
      </c>
      <c r="O35" s="14"/>
      <c r="P35" s="13"/>
      <c r="Q35" s="14">
        <f t="shared" si="0"/>
        <v>29106</v>
      </c>
    </row>
    <row r="36" spans="1:17">
      <c r="A36" s="6">
        <f>'提取参考：第18年15%持续提取'!A36</f>
        <v>99</v>
      </c>
      <c r="B36" s="6">
        <v>73</v>
      </c>
      <c r="C36" s="6">
        <v>32</v>
      </c>
      <c r="D36" s="7">
        <v>170272</v>
      </c>
      <c r="E36" s="7">
        <v>29688</v>
      </c>
      <c r="F36" s="7">
        <v>347848</v>
      </c>
      <c r="G36" s="7">
        <v>176011</v>
      </c>
      <c r="H36" s="8">
        <v>0</v>
      </c>
      <c r="I36" s="7">
        <v>829269</v>
      </c>
      <c r="J36" s="7">
        <v>1005280</v>
      </c>
      <c r="L36" s="15">
        <f t="shared" si="1"/>
        <v>32</v>
      </c>
      <c r="M36" s="13"/>
      <c r="N36" s="14">
        <f t="shared" si="3"/>
        <v>29688</v>
      </c>
      <c r="O36" s="14"/>
      <c r="P36" s="13"/>
      <c r="Q36" s="14">
        <f t="shared" si="0"/>
        <v>29688</v>
      </c>
    </row>
    <row r="37" spans="1:17">
      <c r="A37" s="6">
        <f>'提取参考：第18年15%持续提取'!A37</f>
        <v>100</v>
      </c>
      <c r="B37" s="6">
        <v>74</v>
      </c>
      <c r="C37" s="6">
        <v>33</v>
      </c>
      <c r="D37" s="7">
        <v>165527</v>
      </c>
      <c r="E37" s="7">
        <v>30282</v>
      </c>
      <c r="F37" s="7">
        <v>338155</v>
      </c>
      <c r="G37" s="7">
        <v>172121</v>
      </c>
      <c r="H37" s="8">
        <v>0</v>
      </c>
      <c r="I37" s="7">
        <v>867030</v>
      </c>
      <c r="J37" s="7">
        <v>1039151</v>
      </c>
      <c r="L37" s="15">
        <f t="shared" si="1"/>
        <v>33</v>
      </c>
      <c r="M37" s="13"/>
      <c r="N37" s="14">
        <f t="shared" si="3"/>
        <v>30282</v>
      </c>
      <c r="O37" s="14"/>
      <c r="P37" s="13"/>
      <c r="Q37" s="14">
        <f t="shared" si="0"/>
        <v>30282</v>
      </c>
    </row>
    <row r="38" spans="1:17">
      <c r="A38" s="6"/>
      <c r="B38" s="6">
        <v>75</v>
      </c>
      <c r="C38" s="6">
        <v>34</v>
      </c>
      <c r="D38" s="7">
        <v>160975</v>
      </c>
      <c r="E38" s="7">
        <v>30888</v>
      </c>
      <c r="F38" s="7">
        <v>328856</v>
      </c>
      <c r="G38" s="7">
        <v>168374</v>
      </c>
      <c r="H38" s="8">
        <v>0</v>
      </c>
      <c r="I38" s="7">
        <v>905998</v>
      </c>
      <c r="J38" s="7">
        <v>1074373</v>
      </c>
      <c r="L38" s="15">
        <f t="shared" si="1"/>
        <v>34</v>
      </c>
      <c r="M38" s="13"/>
      <c r="N38" s="14">
        <f t="shared" si="3"/>
        <v>30888</v>
      </c>
      <c r="O38" s="14"/>
      <c r="P38" s="13"/>
      <c r="Q38" s="14">
        <f t="shared" si="0"/>
        <v>30888</v>
      </c>
    </row>
    <row r="39" spans="1:17">
      <c r="A39" s="6"/>
      <c r="B39" s="6">
        <v>76</v>
      </c>
      <c r="C39" s="9">
        <v>35</v>
      </c>
      <c r="D39" s="10">
        <v>156608</v>
      </c>
      <c r="E39" s="10">
        <v>31505</v>
      </c>
      <c r="F39" s="10">
        <v>319934</v>
      </c>
      <c r="G39" s="10">
        <v>164766</v>
      </c>
      <c r="H39" s="11">
        <v>0</v>
      </c>
      <c r="I39" s="10">
        <v>946366</v>
      </c>
      <c r="J39" s="10">
        <v>1111133</v>
      </c>
      <c r="L39" s="15">
        <f t="shared" si="1"/>
        <v>35</v>
      </c>
      <c r="M39" s="13"/>
      <c r="N39" s="14">
        <f t="shared" si="3"/>
        <v>31505</v>
      </c>
      <c r="O39" s="14"/>
      <c r="P39" s="13"/>
      <c r="Q39" s="14">
        <f t="shared" si="0"/>
        <v>31505</v>
      </c>
    </row>
    <row r="40" spans="1:17">
      <c r="A40" s="6"/>
      <c r="B40" s="6">
        <v>77</v>
      </c>
      <c r="C40" s="3">
        <v>36</v>
      </c>
      <c r="D40" s="4">
        <v>152418</v>
      </c>
      <c r="E40" s="4">
        <v>32136</v>
      </c>
      <c r="F40" s="4">
        <v>311375</v>
      </c>
      <c r="G40" s="4">
        <v>160981</v>
      </c>
      <c r="H40" s="5">
        <v>0</v>
      </c>
      <c r="I40" s="4">
        <v>988616</v>
      </c>
      <c r="J40" s="4">
        <v>1149596</v>
      </c>
      <c r="L40" s="15">
        <f t="shared" si="1"/>
        <v>36</v>
      </c>
      <c r="M40" s="13"/>
      <c r="N40" s="14">
        <f t="shared" si="3"/>
        <v>32136</v>
      </c>
      <c r="O40" s="14"/>
      <c r="P40" s="13"/>
      <c r="Q40" s="14">
        <f t="shared" si="0"/>
        <v>32136</v>
      </c>
    </row>
    <row r="41" spans="1:17">
      <c r="A41" s="6"/>
      <c r="B41" s="6">
        <v>78</v>
      </c>
      <c r="C41" s="6">
        <v>37</v>
      </c>
      <c r="D41" s="7">
        <v>148398</v>
      </c>
      <c r="E41" s="7">
        <v>32778</v>
      </c>
      <c r="F41" s="7">
        <v>303162</v>
      </c>
      <c r="G41" s="7">
        <v>157947</v>
      </c>
      <c r="H41" s="8">
        <v>0</v>
      </c>
      <c r="I41" s="7">
        <v>1031659</v>
      </c>
      <c r="J41" s="7">
        <v>1189606</v>
      </c>
      <c r="L41" s="15">
        <f t="shared" si="1"/>
        <v>37</v>
      </c>
      <c r="M41" s="13"/>
      <c r="N41" s="14">
        <f t="shared" si="3"/>
        <v>32778</v>
      </c>
      <c r="O41" s="14"/>
      <c r="P41" s="13"/>
      <c r="Q41" s="14">
        <f t="shared" si="0"/>
        <v>32778</v>
      </c>
    </row>
    <row r="42" spans="1:17">
      <c r="A42" s="6"/>
      <c r="B42" s="6">
        <v>79</v>
      </c>
      <c r="C42" s="6">
        <v>38</v>
      </c>
      <c r="D42" s="7">
        <v>144540</v>
      </c>
      <c r="E42" s="7">
        <v>33434</v>
      </c>
      <c r="F42" s="7">
        <v>295281</v>
      </c>
      <c r="G42" s="7">
        <v>155022</v>
      </c>
      <c r="H42" s="8">
        <v>0</v>
      </c>
      <c r="I42" s="7">
        <v>1076594</v>
      </c>
      <c r="J42" s="7">
        <v>1231616</v>
      </c>
      <c r="L42" s="15">
        <f t="shared" si="1"/>
        <v>38</v>
      </c>
      <c r="M42" s="13"/>
      <c r="N42" s="14">
        <f t="shared" si="3"/>
        <v>33434</v>
      </c>
      <c r="O42" s="14"/>
      <c r="P42" s="13"/>
      <c r="Q42" s="14">
        <f t="shared" si="0"/>
        <v>33434</v>
      </c>
    </row>
    <row r="43" spans="1:17">
      <c r="A43" s="6"/>
      <c r="B43" s="6">
        <v>80</v>
      </c>
      <c r="C43" s="6">
        <v>39</v>
      </c>
      <c r="D43" s="7">
        <v>140837</v>
      </c>
      <c r="E43" s="7">
        <v>34102</v>
      </c>
      <c r="F43" s="7">
        <v>287717</v>
      </c>
      <c r="G43" s="7">
        <v>151627</v>
      </c>
      <c r="H43" s="8">
        <v>0</v>
      </c>
      <c r="I43" s="7">
        <v>1123535</v>
      </c>
      <c r="J43" s="7">
        <v>1275162</v>
      </c>
      <c r="L43" s="15">
        <f t="shared" si="1"/>
        <v>39</v>
      </c>
      <c r="M43" s="13"/>
      <c r="N43" s="14">
        <f t="shared" si="3"/>
        <v>34102</v>
      </c>
      <c r="O43" s="14"/>
      <c r="P43" s="13"/>
      <c r="Q43" s="14">
        <f t="shared" si="0"/>
        <v>34102</v>
      </c>
    </row>
    <row r="44" spans="1:17">
      <c r="A44" s="6"/>
      <c r="B44" s="6">
        <v>81</v>
      </c>
      <c r="C44" s="9">
        <v>40</v>
      </c>
      <c r="D44" s="10">
        <v>137914</v>
      </c>
      <c r="E44" s="10">
        <v>34785</v>
      </c>
      <c r="F44" s="10">
        <v>281746</v>
      </c>
      <c r="G44" s="10">
        <v>149832</v>
      </c>
      <c r="H44" s="11">
        <v>0</v>
      </c>
      <c r="I44" s="10">
        <v>1175442</v>
      </c>
      <c r="J44" s="10">
        <v>1325275</v>
      </c>
      <c r="L44" s="15">
        <f t="shared" si="1"/>
        <v>40</v>
      </c>
      <c r="M44" s="13"/>
      <c r="N44" s="14">
        <f t="shared" si="3"/>
        <v>34785</v>
      </c>
      <c r="O44" s="14"/>
      <c r="P44" s="13"/>
      <c r="Q44" s="14">
        <f t="shared" si="0"/>
        <v>34785</v>
      </c>
    </row>
    <row r="45" spans="1:17">
      <c r="A45" s="6"/>
      <c r="B45" s="6">
        <v>82</v>
      </c>
      <c r="C45" s="3">
        <v>41</v>
      </c>
      <c r="D45" s="4">
        <v>135113</v>
      </c>
      <c r="E45" s="4">
        <v>35480</v>
      </c>
      <c r="F45" s="4">
        <v>276023</v>
      </c>
      <c r="G45" s="4">
        <v>147148</v>
      </c>
      <c r="H45" s="5">
        <v>0</v>
      </c>
      <c r="I45" s="4">
        <v>1230512</v>
      </c>
      <c r="J45" s="4">
        <v>1377660</v>
      </c>
      <c r="L45" s="15">
        <f t="shared" si="1"/>
        <v>41</v>
      </c>
      <c r="M45" s="13"/>
      <c r="N45" s="14">
        <f t="shared" si="3"/>
        <v>35480</v>
      </c>
      <c r="O45" s="14"/>
      <c r="P45" s="13"/>
      <c r="Q45" s="14">
        <f t="shared" si="0"/>
        <v>35480</v>
      </c>
    </row>
    <row r="46" spans="1:17">
      <c r="A46" s="6"/>
      <c r="B46" s="6">
        <v>83</v>
      </c>
      <c r="C46" s="6">
        <v>42</v>
      </c>
      <c r="D46" s="7">
        <v>132431</v>
      </c>
      <c r="E46" s="7">
        <v>36190</v>
      </c>
      <c r="F46" s="7">
        <v>270543</v>
      </c>
      <c r="G46" s="7">
        <v>144578</v>
      </c>
      <c r="H46" s="8">
        <v>0</v>
      </c>
      <c r="I46" s="7">
        <v>1288596</v>
      </c>
      <c r="J46" s="7">
        <v>1433174</v>
      </c>
      <c r="L46" s="15">
        <f t="shared" si="1"/>
        <v>42</v>
      </c>
      <c r="M46" s="13"/>
      <c r="N46" s="14">
        <f t="shared" si="3"/>
        <v>36190</v>
      </c>
      <c r="O46" s="14"/>
      <c r="P46" s="13"/>
      <c r="Q46" s="14">
        <f t="shared" si="0"/>
        <v>36190</v>
      </c>
    </row>
    <row r="47" spans="1:17">
      <c r="A47" s="6"/>
      <c r="B47" s="6">
        <v>84</v>
      </c>
      <c r="C47" s="6">
        <v>43</v>
      </c>
      <c r="D47" s="7">
        <v>129861</v>
      </c>
      <c r="E47" s="7">
        <v>36914</v>
      </c>
      <c r="F47" s="7">
        <v>265293</v>
      </c>
      <c r="G47" s="7">
        <v>142118</v>
      </c>
      <c r="H47" s="8">
        <v>0</v>
      </c>
      <c r="I47" s="7">
        <v>1349017</v>
      </c>
      <c r="J47" s="7">
        <v>1491135</v>
      </c>
      <c r="L47" s="15">
        <f t="shared" si="1"/>
        <v>43</v>
      </c>
      <c r="M47" s="13"/>
      <c r="N47" s="14">
        <f t="shared" si="3"/>
        <v>36914</v>
      </c>
      <c r="O47" s="14"/>
      <c r="P47" s="13"/>
      <c r="Q47" s="14">
        <f t="shared" si="0"/>
        <v>36914</v>
      </c>
    </row>
    <row r="48" spans="1:17">
      <c r="A48" s="6"/>
      <c r="B48" s="6">
        <v>85</v>
      </c>
      <c r="C48" s="6">
        <v>44</v>
      </c>
      <c r="D48" s="7">
        <v>127401</v>
      </c>
      <c r="E48" s="7">
        <v>37652</v>
      </c>
      <c r="F48" s="7">
        <v>260268</v>
      </c>
      <c r="G48" s="7">
        <v>139764</v>
      </c>
      <c r="H48" s="8">
        <v>0</v>
      </c>
      <c r="I48" s="7">
        <v>1412733</v>
      </c>
      <c r="J48" s="7">
        <v>1552497</v>
      </c>
      <c r="L48" s="15">
        <f t="shared" si="1"/>
        <v>44</v>
      </c>
      <c r="M48" s="13"/>
      <c r="N48" s="14">
        <f t="shared" si="3"/>
        <v>37652</v>
      </c>
      <c r="O48" s="14"/>
      <c r="P48" s="13"/>
      <c r="Q48" s="14">
        <f t="shared" si="0"/>
        <v>37652</v>
      </c>
    </row>
    <row r="49" spans="1:17">
      <c r="A49" s="6"/>
      <c r="B49" s="6">
        <v>86</v>
      </c>
      <c r="C49" s="9">
        <v>45</v>
      </c>
      <c r="D49" s="10">
        <v>125046</v>
      </c>
      <c r="E49" s="10">
        <v>38405</v>
      </c>
      <c r="F49" s="10">
        <v>255458</v>
      </c>
      <c r="G49" s="10">
        <v>137513</v>
      </c>
      <c r="H49" s="11">
        <v>0</v>
      </c>
      <c r="I49" s="10">
        <v>1479610</v>
      </c>
      <c r="J49" s="10">
        <v>1617123</v>
      </c>
      <c r="L49" s="15">
        <f t="shared" si="1"/>
        <v>45</v>
      </c>
      <c r="M49" s="13"/>
      <c r="N49" s="14">
        <f t="shared" si="3"/>
        <v>38405</v>
      </c>
      <c r="O49" s="14"/>
      <c r="P49" s="13"/>
      <c r="Q49" s="14">
        <f t="shared" si="0"/>
        <v>38405</v>
      </c>
    </row>
    <row r="50" spans="1:17">
      <c r="A50" s="6"/>
      <c r="B50" s="6">
        <v>87</v>
      </c>
      <c r="C50" s="3">
        <v>46</v>
      </c>
      <c r="D50" s="4">
        <v>122793</v>
      </c>
      <c r="E50" s="4">
        <v>39173</v>
      </c>
      <c r="F50" s="4">
        <v>250854</v>
      </c>
      <c r="G50" s="4">
        <v>135361</v>
      </c>
      <c r="H50" s="5">
        <v>0</v>
      </c>
      <c r="I50" s="4">
        <v>1549779</v>
      </c>
      <c r="J50" s="4">
        <v>1685140</v>
      </c>
      <c r="L50" s="15">
        <f t="shared" si="1"/>
        <v>46</v>
      </c>
      <c r="M50" s="13"/>
      <c r="N50" s="14">
        <f t="shared" si="3"/>
        <v>39173</v>
      </c>
      <c r="O50" s="14"/>
      <c r="P50" s="13"/>
      <c r="Q50" s="14">
        <f t="shared" si="0"/>
        <v>39173</v>
      </c>
    </row>
    <row r="51" spans="1:17">
      <c r="A51" s="6"/>
      <c r="B51" s="6">
        <v>88</v>
      </c>
      <c r="C51" s="6">
        <v>47</v>
      </c>
      <c r="D51" s="7">
        <v>121007</v>
      </c>
      <c r="E51" s="7">
        <v>39957</v>
      </c>
      <c r="F51" s="7">
        <v>246450</v>
      </c>
      <c r="G51" s="7">
        <v>133305</v>
      </c>
      <c r="H51" s="8">
        <v>0</v>
      </c>
      <c r="I51" s="7">
        <v>1623368</v>
      </c>
      <c r="J51" s="7">
        <v>1756673</v>
      </c>
      <c r="L51" s="15">
        <f t="shared" si="1"/>
        <v>47</v>
      </c>
      <c r="M51" s="13"/>
      <c r="N51" s="14">
        <f t="shared" si="3"/>
        <v>39957</v>
      </c>
      <c r="O51" s="14"/>
      <c r="P51" s="13"/>
      <c r="Q51" s="14">
        <f t="shared" si="0"/>
        <v>39957</v>
      </c>
    </row>
    <row r="52" spans="1:17">
      <c r="A52" s="6"/>
      <c r="B52" s="6">
        <v>89</v>
      </c>
      <c r="C52" s="6">
        <v>48</v>
      </c>
      <c r="D52" s="7">
        <v>118939</v>
      </c>
      <c r="E52" s="7">
        <v>40756</v>
      </c>
      <c r="F52" s="7">
        <v>242238</v>
      </c>
      <c r="G52" s="7">
        <v>131535</v>
      </c>
      <c r="H52" s="8">
        <v>0</v>
      </c>
      <c r="I52" s="7">
        <v>1700754</v>
      </c>
      <c r="J52" s="7">
        <v>1832290</v>
      </c>
      <c r="L52" s="15">
        <f t="shared" si="1"/>
        <v>48</v>
      </c>
      <c r="M52" s="13"/>
      <c r="N52" s="14">
        <f t="shared" si="3"/>
        <v>40756</v>
      </c>
      <c r="O52" s="14"/>
      <c r="P52" s="13"/>
      <c r="Q52" s="14">
        <f t="shared" si="0"/>
        <v>40756</v>
      </c>
    </row>
    <row r="53" spans="1:17">
      <c r="A53" s="6"/>
      <c r="B53" s="6">
        <v>90</v>
      </c>
      <c r="C53" s="6">
        <v>49</v>
      </c>
      <c r="D53" s="7">
        <v>116968</v>
      </c>
      <c r="E53" s="7">
        <v>41571</v>
      </c>
      <c r="F53" s="7">
        <v>238225</v>
      </c>
      <c r="G53" s="7">
        <v>129713</v>
      </c>
      <c r="H53" s="8">
        <v>0</v>
      </c>
      <c r="I53" s="7">
        <v>1787640</v>
      </c>
      <c r="J53" s="7">
        <v>1917353</v>
      </c>
      <c r="L53" s="15">
        <f t="shared" si="1"/>
        <v>49</v>
      </c>
      <c r="M53" s="13"/>
      <c r="N53" s="14">
        <f t="shared" si="3"/>
        <v>41571</v>
      </c>
      <c r="O53" s="14"/>
      <c r="P53" s="13"/>
      <c r="Q53" s="14">
        <f t="shared" si="0"/>
        <v>41571</v>
      </c>
    </row>
    <row r="54" spans="1:17">
      <c r="A54" s="6"/>
      <c r="B54" s="6">
        <v>91</v>
      </c>
      <c r="C54" s="9">
        <v>50</v>
      </c>
      <c r="D54" s="10">
        <v>115084</v>
      </c>
      <c r="E54" s="10">
        <v>42402</v>
      </c>
      <c r="F54" s="10">
        <v>234387</v>
      </c>
      <c r="G54" s="10">
        <v>127975</v>
      </c>
      <c r="H54" s="11">
        <v>0</v>
      </c>
      <c r="I54" s="10">
        <v>1872987</v>
      </c>
      <c r="J54" s="10">
        <v>2000963</v>
      </c>
      <c r="L54" s="15">
        <f t="shared" si="1"/>
        <v>50</v>
      </c>
      <c r="M54" s="13"/>
      <c r="N54" s="14">
        <f t="shared" si="3"/>
        <v>42402</v>
      </c>
      <c r="O54" s="14"/>
      <c r="P54" s="13"/>
      <c r="Q54" s="14">
        <f t="shared" si="0"/>
        <v>42402</v>
      </c>
    </row>
    <row r="55" spans="1:17">
      <c r="A55" s="6"/>
      <c r="B55" s="6">
        <v>92</v>
      </c>
      <c r="C55" s="3">
        <v>51</v>
      </c>
      <c r="D55" s="4">
        <v>113282</v>
      </c>
      <c r="E55" s="4">
        <v>43250</v>
      </c>
      <c r="F55" s="4">
        <v>230717</v>
      </c>
      <c r="G55" s="4">
        <v>126318</v>
      </c>
      <c r="H55" s="5">
        <v>0</v>
      </c>
      <c r="I55" s="4">
        <v>1962482</v>
      </c>
      <c r="J55" s="4">
        <v>2088800</v>
      </c>
      <c r="L55" s="15">
        <f t="shared" si="1"/>
        <v>51</v>
      </c>
      <c r="M55" s="13"/>
      <c r="N55" s="14">
        <f t="shared" si="3"/>
        <v>43250</v>
      </c>
      <c r="O55" s="14"/>
      <c r="P55" s="13"/>
      <c r="Q55" s="14">
        <f t="shared" si="0"/>
        <v>43250</v>
      </c>
    </row>
    <row r="56" spans="1:17">
      <c r="A56" s="6"/>
      <c r="B56" s="6">
        <v>93</v>
      </c>
      <c r="C56" s="6">
        <v>52</v>
      </c>
      <c r="D56" s="7">
        <v>111560</v>
      </c>
      <c r="E56" s="7">
        <v>44115</v>
      </c>
      <c r="F56" s="7">
        <v>227210</v>
      </c>
      <c r="G56" s="7">
        <v>124738</v>
      </c>
      <c r="H56" s="8">
        <v>0</v>
      </c>
      <c r="I56" s="7">
        <v>2056932</v>
      </c>
      <c r="J56" s="7">
        <v>2181671</v>
      </c>
      <c r="L56" s="15">
        <f t="shared" si="1"/>
        <v>52</v>
      </c>
      <c r="M56" s="13"/>
      <c r="N56" s="14">
        <f t="shared" si="3"/>
        <v>44115</v>
      </c>
      <c r="O56" s="14"/>
      <c r="P56" s="13"/>
      <c r="Q56" s="14">
        <f t="shared" si="0"/>
        <v>44115</v>
      </c>
    </row>
    <row r="57" spans="1:17">
      <c r="A57" s="6"/>
      <c r="B57" s="6">
        <v>94</v>
      </c>
      <c r="C57" s="6">
        <v>53</v>
      </c>
      <c r="D57" s="7">
        <v>109915</v>
      </c>
      <c r="E57" s="7">
        <v>44998</v>
      </c>
      <c r="F57" s="7">
        <v>223859</v>
      </c>
      <c r="G57" s="7">
        <v>123234</v>
      </c>
      <c r="H57" s="8">
        <v>0</v>
      </c>
      <c r="I57" s="7">
        <v>2156433</v>
      </c>
      <c r="J57" s="7">
        <v>2279667</v>
      </c>
      <c r="L57" s="15">
        <f t="shared" si="1"/>
        <v>53</v>
      </c>
      <c r="M57" s="13"/>
      <c r="N57" s="14">
        <f t="shared" si="3"/>
        <v>44998</v>
      </c>
      <c r="O57" s="14"/>
      <c r="P57" s="13"/>
      <c r="Q57" s="14">
        <f t="shared" si="0"/>
        <v>44998</v>
      </c>
    </row>
    <row r="58" spans="1:17">
      <c r="A58" s="6"/>
      <c r="B58" s="6">
        <v>95</v>
      </c>
      <c r="C58" s="6">
        <v>54</v>
      </c>
      <c r="D58" s="7">
        <v>108343</v>
      </c>
      <c r="E58" s="7">
        <v>45897</v>
      </c>
      <c r="F58" s="7">
        <v>220659</v>
      </c>
      <c r="G58" s="7">
        <v>122024</v>
      </c>
      <c r="H58" s="8">
        <v>0</v>
      </c>
      <c r="I58" s="7">
        <v>2261309</v>
      </c>
      <c r="J58" s="7">
        <v>2383334</v>
      </c>
      <c r="L58" s="15">
        <f t="shared" si="1"/>
        <v>54</v>
      </c>
      <c r="M58" s="13"/>
      <c r="N58" s="14">
        <f t="shared" si="3"/>
        <v>45897</v>
      </c>
      <c r="O58" s="14"/>
      <c r="P58" s="13"/>
      <c r="Q58" s="14">
        <f t="shared" si="0"/>
        <v>45897</v>
      </c>
    </row>
    <row r="59" spans="1:17">
      <c r="A59" s="6"/>
      <c r="B59" s="6">
        <v>96</v>
      </c>
      <c r="C59" s="9">
        <v>55</v>
      </c>
      <c r="D59" s="10">
        <v>106843</v>
      </c>
      <c r="E59" s="10">
        <v>46815</v>
      </c>
      <c r="F59" s="10">
        <v>217603</v>
      </c>
      <c r="G59" s="10">
        <v>120661</v>
      </c>
      <c r="H59" s="11">
        <v>0</v>
      </c>
      <c r="I59" s="10">
        <v>2371874</v>
      </c>
      <c r="J59" s="10">
        <v>2492535</v>
      </c>
      <c r="L59" s="15">
        <f t="shared" si="1"/>
        <v>55</v>
      </c>
      <c r="M59" s="13"/>
      <c r="N59" s="14">
        <f t="shared" si="3"/>
        <v>46815</v>
      </c>
      <c r="O59" s="14"/>
      <c r="P59" s="13"/>
      <c r="Q59" s="14">
        <f t="shared" si="0"/>
        <v>46815</v>
      </c>
    </row>
    <row r="60" spans="1:17">
      <c r="A60" s="6"/>
      <c r="B60" s="6">
        <v>97</v>
      </c>
      <c r="C60" s="3">
        <v>56</v>
      </c>
      <c r="D60" s="4">
        <v>105411</v>
      </c>
      <c r="E60" s="4">
        <v>47752</v>
      </c>
      <c r="F60" s="4">
        <v>214687</v>
      </c>
      <c r="G60" s="4">
        <v>119366</v>
      </c>
      <c r="H60" s="5">
        <v>0</v>
      </c>
      <c r="I60" s="4">
        <v>2488655</v>
      </c>
      <c r="J60" s="4">
        <v>2608021</v>
      </c>
      <c r="L60" s="15">
        <f t="shared" si="1"/>
        <v>56</v>
      </c>
      <c r="M60" s="13"/>
      <c r="N60" s="14">
        <f t="shared" si="3"/>
        <v>47752</v>
      </c>
      <c r="O60" s="14"/>
      <c r="P60" s="13"/>
      <c r="Q60" s="14">
        <f t="shared" si="0"/>
        <v>47752</v>
      </c>
    </row>
    <row r="61" spans="1:17">
      <c r="A61" s="6"/>
      <c r="B61" s="6">
        <v>98</v>
      </c>
      <c r="C61" s="6">
        <v>57</v>
      </c>
      <c r="D61" s="7">
        <v>104046</v>
      </c>
      <c r="E61" s="7">
        <v>48707</v>
      </c>
      <c r="F61" s="7">
        <v>211906</v>
      </c>
      <c r="G61" s="7">
        <v>118138</v>
      </c>
      <c r="H61" s="8">
        <v>0</v>
      </c>
      <c r="I61" s="7">
        <v>2611953</v>
      </c>
      <c r="J61" s="7">
        <v>2730091</v>
      </c>
      <c r="L61" s="15">
        <f t="shared" si="1"/>
        <v>57</v>
      </c>
      <c r="M61" s="13"/>
      <c r="N61" s="14">
        <f t="shared" si="3"/>
        <v>48707</v>
      </c>
      <c r="O61" s="14"/>
      <c r="P61" s="13"/>
      <c r="Q61" s="14">
        <f t="shared" si="0"/>
        <v>48707</v>
      </c>
    </row>
    <row r="62" spans="1:17">
      <c r="A62" s="6"/>
      <c r="B62" s="6">
        <v>99</v>
      </c>
      <c r="C62" s="6">
        <v>58</v>
      </c>
      <c r="D62" s="7">
        <v>102744</v>
      </c>
      <c r="E62" s="7">
        <v>49681</v>
      </c>
      <c r="F62" s="7">
        <v>209254</v>
      </c>
      <c r="G62" s="7">
        <v>116973</v>
      </c>
      <c r="H62" s="8">
        <v>0</v>
      </c>
      <c r="I62" s="7">
        <v>2742280</v>
      </c>
      <c r="J62" s="7">
        <v>2859253</v>
      </c>
      <c r="L62" s="15">
        <f t="shared" si="1"/>
        <v>58</v>
      </c>
      <c r="M62" s="13"/>
      <c r="N62" s="14">
        <f t="shared" si="3"/>
        <v>49681</v>
      </c>
      <c r="O62" s="14"/>
      <c r="P62" s="13"/>
      <c r="Q62" s="14">
        <f t="shared" si="0"/>
        <v>49681</v>
      </c>
    </row>
    <row r="63" spans="1:17">
      <c r="A63" s="6"/>
      <c r="B63" s="6">
        <v>100</v>
      </c>
      <c r="C63" s="6">
        <v>59</v>
      </c>
      <c r="D63" s="7">
        <v>101503</v>
      </c>
      <c r="E63" s="7">
        <v>50675</v>
      </c>
      <c r="F63" s="7">
        <v>206728</v>
      </c>
      <c r="G63" s="7">
        <v>115871</v>
      </c>
      <c r="H63" s="8">
        <v>0</v>
      </c>
      <c r="I63" s="7">
        <v>2879715</v>
      </c>
      <c r="J63" s="7">
        <v>2995585</v>
      </c>
      <c r="L63" s="15">
        <f t="shared" si="1"/>
        <v>59</v>
      </c>
      <c r="M63" s="13"/>
      <c r="N63" s="14">
        <f t="shared" si="3"/>
        <v>50675</v>
      </c>
      <c r="O63" s="14"/>
      <c r="P63" s="13"/>
      <c r="Q63" s="14">
        <f t="shared" si="0"/>
        <v>50675</v>
      </c>
    </row>
    <row r="64" spans="1:17">
      <c r="A64" s="6"/>
      <c r="B64" s="6"/>
      <c r="C64" s="9">
        <v>60</v>
      </c>
      <c r="D64" s="10">
        <v>100322</v>
      </c>
      <c r="E64" s="10">
        <v>51688</v>
      </c>
      <c r="F64" s="10">
        <v>204321</v>
      </c>
      <c r="G64" s="10">
        <v>114828</v>
      </c>
      <c r="H64" s="11">
        <v>0</v>
      </c>
      <c r="I64" s="10">
        <v>3024969</v>
      </c>
      <c r="J64" s="10">
        <v>3139797</v>
      </c>
      <c r="L64" s="15">
        <f t="shared" si="1"/>
        <v>60</v>
      </c>
      <c r="M64" s="13"/>
      <c r="N64" s="14">
        <f t="shared" si="3"/>
        <v>51688</v>
      </c>
      <c r="O64" s="14"/>
      <c r="P64" s="13"/>
      <c r="Q64" s="14">
        <f t="shared" si="0"/>
        <v>51688</v>
      </c>
    </row>
    <row r="65" spans="1:17">
      <c r="A65" s="6"/>
      <c r="B65" s="6"/>
      <c r="C65" s="3">
        <v>61</v>
      </c>
      <c r="D65" s="4">
        <v>99197</v>
      </c>
      <c r="E65" s="4">
        <v>52722</v>
      </c>
      <c r="F65" s="4">
        <v>202030</v>
      </c>
      <c r="G65" s="4">
        <v>113844</v>
      </c>
      <c r="H65" s="5">
        <v>0</v>
      </c>
      <c r="I65" s="4">
        <v>3178533</v>
      </c>
      <c r="J65" s="4">
        <v>3292376</v>
      </c>
      <c r="L65" s="15">
        <f t="shared" si="1"/>
        <v>61</v>
      </c>
      <c r="M65" s="13"/>
      <c r="N65" s="14">
        <f t="shared" si="3"/>
        <v>52722</v>
      </c>
      <c r="O65" s="14"/>
      <c r="P65" s="13"/>
      <c r="Q65" s="14">
        <f t="shared" si="0"/>
        <v>52722</v>
      </c>
    </row>
    <row r="66" spans="1:17">
      <c r="A66" s="6"/>
      <c r="B66" s="6"/>
      <c r="C66" s="6">
        <v>62</v>
      </c>
      <c r="D66" s="7">
        <v>98126</v>
      </c>
      <c r="E66" s="7">
        <v>53776</v>
      </c>
      <c r="F66" s="7">
        <v>199850</v>
      </c>
      <c r="G66" s="7">
        <v>112915</v>
      </c>
      <c r="H66" s="8">
        <v>0</v>
      </c>
      <c r="I66" s="7">
        <v>3341095</v>
      </c>
      <c r="J66" s="7">
        <v>3454011</v>
      </c>
      <c r="L66" s="15">
        <f t="shared" si="1"/>
        <v>62</v>
      </c>
      <c r="M66" s="13"/>
      <c r="N66" s="14">
        <f t="shared" si="3"/>
        <v>53776</v>
      </c>
      <c r="O66" s="14"/>
      <c r="P66" s="13"/>
      <c r="Q66" s="14">
        <f t="shared" si="0"/>
        <v>53776</v>
      </c>
    </row>
    <row r="67" spans="1:17">
      <c r="A67" s="6"/>
      <c r="B67" s="6"/>
      <c r="C67" s="6">
        <v>63</v>
      </c>
      <c r="D67" s="7">
        <v>97109</v>
      </c>
      <c r="E67" s="7">
        <v>54852</v>
      </c>
      <c r="F67" s="7">
        <v>197778</v>
      </c>
      <c r="G67" s="7">
        <v>112140</v>
      </c>
      <c r="H67" s="8">
        <v>0</v>
      </c>
      <c r="I67" s="7">
        <v>3512734</v>
      </c>
      <c r="J67" s="7">
        <v>3624874</v>
      </c>
      <c r="L67" s="15">
        <f t="shared" si="1"/>
        <v>63</v>
      </c>
      <c r="M67" s="13"/>
      <c r="N67" s="14">
        <f t="shared" si="3"/>
        <v>54852</v>
      </c>
      <c r="O67" s="14"/>
      <c r="P67" s="13"/>
      <c r="Q67" s="14">
        <f t="shared" si="0"/>
        <v>54852</v>
      </c>
    </row>
    <row r="68" spans="1:17">
      <c r="A68" s="6"/>
      <c r="B68" s="6"/>
      <c r="C68" s="6">
        <v>64</v>
      </c>
      <c r="D68" s="7">
        <v>96142</v>
      </c>
      <c r="E68" s="7">
        <v>55949</v>
      </c>
      <c r="F68" s="7">
        <v>195809</v>
      </c>
      <c r="G68" s="7">
        <v>111415</v>
      </c>
      <c r="H68" s="8">
        <v>0</v>
      </c>
      <c r="I68" s="7">
        <v>3694329</v>
      </c>
      <c r="J68" s="7">
        <v>3805745</v>
      </c>
      <c r="L68" s="15">
        <f t="shared" si="1"/>
        <v>64</v>
      </c>
      <c r="M68" s="13"/>
      <c r="N68" s="14">
        <f t="shared" si="3"/>
        <v>55949</v>
      </c>
      <c r="O68" s="14"/>
      <c r="P68" s="13"/>
      <c r="Q68" s="14">
        <f t="shared" si="0"/>
        <v>55949</v>
      </c>
    </row>
    <row r="69" spans="1:17">
      <c r="A69" s="6"/>
      <c r="B69" s="6"/>
      <c r="C69" s="9">
        <v>65</v>
      </c>
      <c r="D69" s="10">
        <v>95224</v>
      </c>
      <c r="E69" s="10">
        <v>57068</v>
      </c>
      <c r="F69" s="10">
        <v>193940</v>
      </c>
      <c r="G69" s="10">
        <v>110740</v>
      </c>
      <c r="H69" s="11">
        <v>0</v>
      </c>
      <c r="I69" s="10">
        <v>3886749</v>
      </c>
      <c r="J69" s="10">
        <v>3997488</v>
      </c>
      <c r="L69" s="15">
        <f t="shared" si="1"/>
        <v>65</v>
      </c>
      <c r="M69" s="13"/>
      <c r="N69" s="14">
        <f t="shared" si="3"/>
        <v>57068</v>
      </c>
      <c r="O69" s="14"/>
      <c r="P69" s="13"/>
      <c r="Q69" s="14">
        <f t="shared" ref="Q69:Q103" si="4">M69+N69+P69+O69</f>
        <v>57068</v>
      </c>
    </row>
    <row r="70" spans="1:17">
      <c r="A70" s="6"/>
      <c r="B70" s="6"/>
      <c r="C70" s="3">
        <v>66</v>
      </c>
      <c r="D70" s="4">
        <v>94354</v>
      </c>
      <c r="E70" s="4">
        <v>58209</v>
      </c>
      <c r="F70" s="4">
        <v>192167</v>
      </c>
      <c r="G70" s="4">
        <v>110111</v>
      </c>
      <c r="H70" s="5">
        <v>0</v>
      </c>
      <c r="I70" s="4">
        <v>4090266</v>
      </c>
      <c r="J70" s="4">
        <v>4200377</v>
      </c>
      <c r="L70" s="15">
        <f t="shared" ref="L70:L104" si="5">C70</f>
        <v>66</v>
      </c>
      <c r="M70" s="13"/>
      <c r="N70" s="14">
        <f t="shared" si="3"/>
        <v>58209</v>
      </c>
      <c r="O70" s="14"/>
      <c r="P70" s="13"/>
      <c r="Q70" s="14">
        <f t="shared" si="4"/>
        <v>58209</v>
      </c>
    </row>
    <row r="71" spans="1:17">
      <c r="A71" s="6"/>
      <c r="B71" s="6"/>
      <c r="C71" s="6">
        <v>67</v>
      </c>
      <c r="D71" s="7">
        <v>93528</v>
      </c>
      <c r="E71" s="7">
        <v>59373</v>
      </c>
      <c r="F71" s="7">
        <v>190486</v>
      </c>
      <c r="G71" s="7">
        <v>109529</v>
      </c>
      <c r="H71" s="8">
        <v>0</v>
      </c>
      <c r="I71" s="7">
        <v>4305739</v>
      </c>
      <c r="J71" s="7">
        <v>4415268</v>
      </c>
      <c r="L71" s="15">
        <f t="shared" si="5"/>
        <v>67</v>
      </c>
      <c r="M71" s="13"/>
      <c r="N71" s="14">
        <f t="shared" si="3"/>
        <v>59373</v>
      </c>
      <c r="O71" s="14"/>
      <c r="P71" s="13"/>
      <c r="Q71" s="14">
        <f t="shared" si="4"/>
        <v>59373</v>
      </c>
    </row>
    <row r="72" spans="1:17">
      <c r="A72" s="6"/>
      <c r="B72" s="6"/>
      <c r="C72" s="6">
        <v>68</v>
      </c>
      <c r="D72" s="7">
        <v>92747</v>
      </c>
      <c r="E72" s="7">
        <v>60561</v>
      </c>
      <c r="F72" s="7">
        <v>188894</v>
      </c>
      <c r="G72" s="7">
        <v>109181</v>
      </c>
      <c r="H72" s="8">
        <v>0</v>
      </c>
      <c r="I72" s="7">
        <v>4533828</v>
      </c>
      <c r="J72" s="7">
        <v>4643009</v>
      </c>
      <c r="L72" s="15">
        <f t="shared" si="5"/>
        <v>68</v>
      </c>
      <c r="M72" s="13"/>
      <c r="N72" s="14">
        <f t="shared" si="3"/>
        <v>60561</v>
      </c>
      <c r="O72" s="14"/>
      <c r="P72" s="13"/>
      <c r="Q72" s="14">
        <f t="shared" si="4"/>
        <v>60561</v>
      </c>
    </row>
    <row r="73" spans="1:17">
      <c r="A73" s="6"/>
      <c r="B73" s="6"/>
      <c r="C73" s="6">
        <v>69</v>
      </c>
      <c r="D73" s="7">
        <v>92007</v>
      </c>
      <c r="E73" s="7">
        <v>61772</v>
      </c>
      <c r="F73" s="7">
        <v>187388</v>
      </c>
      <c r="G73" s="7">
        <v>108610</v>
      </c>
      <c r="H73" s="8">
        <v>0</v>
      </c>
      <c r="I73" s="7">
        <v>4775571</v>
      </c>
      <c r="J73" s="7">
        <v>4884181</v>
      </c>
      <c r="L73" s="15">
        <f t="shared" si="5"/>
        <v>69</v>
      </c>
      <c r="M73" s="13"/>
      <c r="N73" s="14">
        <f t="shared" si="3"/>
        <v>61772</v>
      </c>
      <c r="O73" s="14"/>
      <c r="P73" s="13"/>
      <c r="Q73" s="14">
        <f t="shared" si="4"/>
        <v>61772</v>
      </c>
    </row>
    <row r="74" spans="1:17">
      <c r="A74" s="6"/>
      <c r="B74" s="6"/>
      <c r="C74" s="9">
        <v>70</v>
      </c>
      <c r="D74" s="10">
        <v>91308</v>
      </c>
      <c r="E74" s="10">
        <v>63007</v>
      </c>
      <c r="F74" s="10">
        <v>185964</v>
      </c>
      <c r="G74" s="10">
        <v>108231</v>
      </c>
      <c r="H74" s="11">
        <v>0</v>
      </c>
      <c r="I74" s="10">
        <v>5031813</v>
      </c>
      <c r="J74" s="10">
        <v>5140044</v>
      </c>
      <c r="L74" s="15">
        <f t="shared" si="5"/>
        <v>70</v>
      </c>
      <c r="M74" s="13"/>
      <c r="N74" s="14">
        <f t="shared" si="3"/>
        <v>63007</v>
      </c>
      <c r="O74" s="14"/>
      <c r="P74" s="13"/>
      <c r="Q74" s="14">
        <f t="shared" si="4"/>
        <v>63007</v>
      </c>
    </row>
    <row r="75" spans="1:17">
      <c r="A75" s="6"/>
      <c r="B75" s="6"/>
      <c r="C75" s="3">
        <v>71</v>
      </c>
      <c r="D75" s="4">
        <v>90648</v>
      </c>
      <c r="E75" s="4">
        <v>64268</v>
      </c>
      <c r="F75" s="4">
        <v>184620</v>
      </c>
      <c r="G75" s="4">
        <v>108003</v>
      </c>
      <c r="H75" s="5">
        <v>0</v>
      </c>
      <c r="I75" s="4">
        <v>5303208</v>
      </c>
      <c r="J75" s="4">
        <v>5411211</v>
      </c>
      <c r="L75" s="15">
        <f t="shared" si="5"/>
        <v>71</v>
      </c>
      <c r="M75" s="13"/>
      <c r="N75" s="14">
        <f t="shared" ref="N75:N104" si="6">E75</f>
        <v>64268</v>
      </c>
      <c r="O75" s="14"/>
      <c r="P75" s="13"/>
      <c r="Q75" s="14">
        <f t="shared" si="4"/>
        <v>64268</v>
      </c>
    </row>
    <row r="76" spans="1:17">
      <c r="A76" s="6"/>
      <c r="B76" s="6"/>
      <c r="C76" s="6">
        <v>72</v>
      </c>
      <c r="D76" s="7">
        <v>90026</v>
      </c>
      <c r="E76" s="7">
        <v>65553</v>
      </c>
      <c r="F76" s="7">
        <v>183353</v>
      </c>
      <c r="G76" s="7">
        <v>107628</v>
      </c>
      <c r="H76" s="8">
        <v>0</v>
      </c>
      <c r="I76" s="7">
        <v>5590971</v>
      </c>
      <c r="J76" s="7">
        <v>5698599</v>
      </c>
      <c r="L76" s="15">
        <f t="shared" si="5"/>
        <v>72</v>
      </c>
      <c r="M76" s="13"/>
      <c r="N76" s="14">
        <f t="shared" si="6"/>
        <v>65553</v>
      </c>
      <c r="O76" s="14"/>
      <c r="P76" s="13"/>
      <c r="Q76" s="14">
        <f t="shared" si="4"/>
        <v>65553</v>
      </c>
    </row>
    <row r="77" spans="1:17">
      <c r="A77" s="6"/>
      <c r="B77" s="6"/>
      <c r="C77" s="6">
        <v>73</v>
      </c>
      <c r="D77" s="7">
        <v>89440</v>
      </c>
      <c r="E77" s="7">
        <v>66864</v>
      </c>
      <c r="F77" s="7">
        <v>182159</v>
      </c>
      <c r="G77" s="7">
        <v>107474</v>
      </c>
      <c r="H77" s="8">
        <v>0</v>
      </c>
      <c r="I77" s="7">
        <v>5896129</v>
      </c>
      <c r="J77" s="7">
        <v>6003603</v>
      </c>
      <c r="L77" s="15">
        <f t="shared" si="5"/>
        <v>73</v>
      </c>
      <c r="M77" s="13"/>
      <c r="N77" s="14">
        <f t="shared" si="6"/>
        <v>66864</v>
      </c>
      <c r="O77" s="14"/>
      <c r="P77" s="13"/>
      <c r="Q77" s="14">
        <f t="shared" si="4"/>
        <v>66864</v>
      </c>
    </row>
    <row r="78" spans="1:17">
      <c r="A78" s="6"/>
      <c r="B78" s="6"/>
      <c r="C78" s="6">
        <v>74</v>
      </c>
      <c r="D78" s="7">
        <v>88889</v>
      </c>
      <c r="E78" s="7">
        <v>68201</v>
      </c>
      <c r="F78" s="7">
        <v>181037</v>
      </c>
      <c r="G78" s="7">
        <v>107174</v>
      </c>
      <c r="H78" s="8">
        <v>0</v>
      </c>
      <c r="I78" s="7">
        <v>6219707</v>
      </c>
      <c r="J78" s="7">
        <v>6326881</v>
      </c>
      <c r="L78" s="15">
        <f t="shared" si="5"/>
        <v>74</v>
      </c>
      <c r="M78" s="13"/>
      <c r="N78" s="14">
        <f t="shared" si="6"/>
        <v>68201</v>
      </c>
      <c r="O78" s="14"/>
      <c r="P78" s="13"/>
      <c r="Q78" s="14">
        <f t="shared" si="4"/>
        <v>68201</v>
      </c>
    </row>
    <row r="79" spans="1:17">
      <c r="A79" s="6"/>
      <c r="B79" s="6"/>
      <c r="C79" s="9">
        <v>75</v>
      </c>
      <c r="D79" s="10">
        <v>88372</v>
      </c>
      <c r="E79" s="10">
        <v>69565</v>
      </c>
      <c r="F79" s="10">
        <v>179983</v>
      </c>
      <c r="G79" s="10">
        <v>106910</v>
      </c>
      <c r="H79" s="11">
        <v>0</v>
      </c>
      <c r="I79" s="10">
        <v>6562914</v>
      </c>
      <c r="J79" s="10">
        <v>6669825</v>
      </c>
      <c r="L79" s="15">
        <f t="shared" si="5"/>
        <v>75</v>
      </c>
      <c r="M79" s="13"/>
      <c r="N79" s="14">
        <f t="shared" si="6"/>
        <v>69565</v>
      </c>
      <c r="O79" s="14"/>
      <c r="P79" s="13"/>
      <c r="Q79" s="14">
        <f t="shared" si="4"/>
        <v>69565</v>
      </c>
    </row>
    <row r="80" spans="1:17">
      <c r="A80" s="6"/>
      <c r="B80" s="6"/>
      <c r="C80" s="3">
        <v>76</v>
      </c>
      <c r="D80" s="4">
        <v>87887</v>
      </c>
      <c r="E80" s="4">
        <v>70957</v>
      </c>
      <c r="F80" s="4">
        <v>178996</v>
      </c>
      <c r="G80" s="4">
        <v>106682</v>
      </c>
      <c r="H80" s="5">
        <v>0</v>
      </c>
      <c r="I80" s="4">
        <v>6927143</v>
      </c>
      <c r="J80" s="4">
        <v>7033824</v>
      </c>
      <c r="L80" s="15">
        <f t="shared" si="5"/>
        <v>76</v>
      </c>
      <c r="M80" s="13"/>
      <c r="N80" s="14">
        <f t="shared" si="6"/>
        <v>70957</v>
      </c>
      <c r="O80" s="14"/>
      <c r="P80" s="13"/>
      <c r="Q80" s="14">
        <f t="shared" si="4"/>
        <v>70957</v>
      </c>
    </row>
    <row r="81" spans="1:17">
      <c r="A81" s="6"/>
      <c r="B81" s="6"/>
      <c r="C81" s="6">
        <v>77</v>
      </c>
      <c r="D81" s="7">
        <v>87433</v>
      </c>
      <c r="E81" s="7">
        <v>72376</v>
      </c>
      <c r="F81" s="7">
        <v>178072</v>
      </c>
      <c r="G81" s="7">
        <v>106665</v>
      </c>
      <c r="H81" s="8">
        <v>0</v>
      </c>
      <c r="I81" s="7">
        <v>7313247</v>
      </c>
      <c r="J81" s="7">
        <v>7419913</v>
      </c>
      <c r="L81" s="15">
        <f t="shared" si="5"/>
        <v>77</v>
      </c>
      <c r="M81" s="13"/>
      <c r="N81" s="14">
        <f t="shared" si="6"/>
        <v>72376</v>
      </c>
      <c r="O81" s="14"/>
      <c r="P81" s="13"/>
      <c r="Q81" s="14">
        <f t="shared" si="4"/>
        <v>72376</v>
      </c>
    </row>
    <row r="82" spans="1:17">
      <c r="A82" s="6"/>
      <c r="B82" s="6"/>
      <c r="C82" s="6">
        <v>78</v>
      </c>
      <c r="D82" s="7">
        <v>87010</v>
      </c>
      <c r="E82" s="7">
        <v>73823</v>
      </c>
      <c r="F82" s="7">
        <v>177210</v>
      </c>
      <c r="G82" s="7">
        <v>106680</v>
      </c>
      <c r="H82" s="8">
        <v>0</v>
      </c>
      <c r="I82" s="7">
        <v>7723164</v>
      </c>
      <c r="J82" s="7">
        <v>7829844</v>
      </c>
      <c r="L82" s="15">
        <f t="shared" si="5"/>
        <v>78</v>
      </c>
      <c r="M82" s="13"/>
      <c r="N82" s="14">
        <f t="shared" si="6"/>
        <v>73823</v>
      </c>
      <c r="O82" s="14"/>
      <c r="P82" s="13"/>
      <c r="Q82" s="14">
        <f t="shared" si="4"/>
        <v>73823</v>
      </c>
    </row>
    <row r="83" spans="1:17">
      <c r="A83" s="6"/>
      <c r="B83" s="6"/>
      <c r="C83" s="6">
        <v>79</v>
      </c>
      <c r="D83" s="7">
        <v>86616</v>
      </c>
      <c r="E83" s="7">
        <v>75300</v>
      </c>
      <c r="F83" s="7">
        <v>176407</v>
      </c>
      <c r="G83" s="7">
        <v>106550</v>
      </c>
      <c r="H83" s="8">
        <v>0</v>
      </c>
      <c r="I83" s="7">
        <v>8158112</v>
      </c>
      <c r="J83" s="7">
        <v>8264662</v>
      </c>
      <c r="L83" s="15">
        <f t="shared" si="5"/>
        <v>79</v>
      </c>
      <c r="M83" s="13"/>
      <c r="N83" s="14">
        <f t="shared" si="6"/>
        <v>75300</v>
      </c>
      <c r="O83" s="14"/>
      <c r="P83" s="13"/>
      <c r="Q83" s="14">
        <f t="shared" si="4"/>
        <v>75300</v>
      </c>
    </row>
    <row r="84" spans="1:17">
      <c r="A84" s="6"/>
      <c r="B84" s="6"/>
      <c r="C84" s="9">
        <v>80</v>
      </c>
      <c r="D84" s="10">
        <v>86250</v>
      </c>
      <c r="E84" s="10">
        <v>76806</v>
      </c>
      <c r="F84" s="10">
        <v>175661</v>
      </c>
      <c r="G84" s="10">
        <v>106626</v>
      </c>
      <c r="H84" s="11">
        <v>0</v>
      </c>
      <c r="I84" s="10">
        <v>8619856</v>
      </c>
      <c r="J84" s="10">
        <v>8726482</v>
      </c>
      <c r="L84" s="15">
        <f t="shared" si="5"/>
        <v>80</v>
      </c>
      <c r="M84" s="13"/>
      <c r="N84" s="14">
        <f t="shared" si="6"/>
        <v>76806</v>
      </c>
      <c r="O84" s="14"/>
      <c r="P84" s="13"/>
      <c r="Q84" s="14">
        <f t="shared" si="4"/>
        <v>76806</v>
      </c>
    </row>
    <row r="85" spans="1:17">
      <c r="A85" s="6"/>
      <c r="B85" s="6"/>
      <c r="C85" s="3">
        <v>81</v>
      </c>
      <c r="D85" s="4">
        <v>85910</v>
      </c>
      <c r="E85" s="4">
        <v>78342</v>
      </c>
      <c r="F85" s="4">
        <v>174970</v>
      </c>
      <c r="G85" s="4">
        <v>106732</v>
      </c>
      <c r="H85" s="5">
        <v>0</v>
      </c>
      <c r="I85" s="4">
        <v>9109987</v>
      </c>
      <c r="J85" s="4">
        <v>9216719</v>
      </c>
      <c r="L85" s="15">
        <f t="shared" si="5"/>
        <v>81</v>
      </c>
      <c r="M85" s="13"/>
      <c r="N85" s="14">
        <f t="shared" si="6"/>
        <v>78342</v>
      </c>
      <c r="O85" s="14"/>
      <c r="P85" s="13"/>
      <c r="Q85" s="14">
        <f t="shared" si="4"/>
        <v>78342</v>
      </c>
    </row>
    <row r="86" spans="1:17">
      <c r="A86" s="6"/>
      <c r="B86" s="6"/>
      <c r="C86" s="6">
        <v>82</v>
      </c>
      <c r="D86" s="7">
        <v>85597</v>
      </c>
      <c r="E86" s="7">
        <v>79909</v>
      </c>
      <c r="F86" s="7">
        <v>174332</v>
      </c>
      <c r="G86" s="7">
        <v>106691</v>
      </c>
      <c r="H86" s="8">
        <v>0</v>
      </c>
      <c r="I86" s="7">
        <v>9630456</v>
      </c>
      <c r="J86" s="7">
        <v>9737147</v>
      </c>
      <c r="L86" s="15">
        <f t="shared" si="5"/>
        <v>82</v>
      </c>
      <c r="M86" s="13"/>
      <c r="N86" s="14">
        <f t="shared" si="6"/>
        <v>79909</v>
      </c>
      <c r="O86" s="14"/>
      <c r="P86" s="13"/>
      <c r="Q86" s="14">
        <f t="shared" si="4"/>
        <v>79909</v>
      </c>
    </row>
    <row r="87" spans="1:17">
      <c r="A87" s="6"/>
      <c r="B87" s="6"/>
      <c r="C87" s="6">
        <v>83</v>
      </c>
      <c r="D87" s="7">
        <v>85309</v>
      </c>
      <c r="E87" s="7">
        <v>81507</v>
      </c>
      <c r="F87" s="7">
        <v>173745</v>
      </c>
      <c r="G87" s="7">
        <v>106853</v>
      </c>
      <c r="H87" s="8">
        <v>0</v>
      </c>
      <c r="I87" s="7">
        <v>10183049</v>
      </c>
      <c r="J87" s="7">
        <v>10289903</v>
      </c>
      <c r="L87" s="15">
        <f t="shared" si="5"/>
        <v>83</v>
      </c>
      <c r="M87" s="13"/>
      <c r="N87" s="14">
        <f t="shared" si="6"/>
        <v>81507</v>
      </c>
      <c r="O87" s="14"/>
      <c r="P87" s="13"/>
      <c r="Q87" s="14">
        <f t="shared" si="4"/>
        <v>81507</v>
      </c>
    </row>
    <row r="88" spans="1:17">
      <c r="A88" s="6"/>
      <c r="B88" s="6"/>
      <c r="C88" s="6">
        <v>84</v>
      </c>
      <c r="D88" s="7">
        <v>85045</v>
      </c>
      <c r="E88" s="7">
        <v>83137</v>
      </c>
      <c r="F88" s="7">
        <v>173208</v>
      </c>
      <c r="G88" s="7">
        <v>107043</v>
      </c>
      <c r="H88" s="8">
        <v>0</v>
      </c>
      <c r="I88" s="7">
        <v>10770087</v>
      </c>
      <c r="J88" s="7">
        <v>10877130</v>
      </c>
      <c r="L88" s="15">
        <f t="shared" si="5"/>
        <v>84</v>
      </c>
      <c r="M88" s="13"/>
      <c r="N88" s="14">
        <f t="shared" si="6"/>
        <v>83137</v>
      </c>
      <c r="O88" s="14"/>
      <c r="P88" s="13"/>
      <c r="Q88" s="14">
        <f t="shared" si="4"/>
        <v>83137</v>
      </c>
    </row>
    <row r="89" spans="1:17">
      <c r="A89" s="6"/>
      <c r="B89" s="6"/>
      <c r="C89" s="9">
        <v>85</v>
      </c>
      <c r="D89" s="10">
        <v>84805</v>
      </c>
      <c r="E89" s="10">
        <v>84800</v>
      </c>
      <c r="F89" s="10">
        <v>172719</v>
      </c>
      <c r="G89" s="10">
        <v>107086</v>
      </c>
      <c r="H89" s="11">
        <v>0</v>
      </c>
      <c r="I89" s="10">
        <v>11393553</v>
      </c>
      <c r="J89" s="10">
        <v>11500638</v>
      </c>
      <c r="L89" s="15">
        <f t="shared" si="5"/>
        <v>85</v>
      </c>
      <c r="M89" s="13"/>
      <c r="N89" s="14">
        <f t="shared" si="6"/>
        <v>84800</v>
      </c>
      <c r="O89" s="14"/>
      <c r="P89" s="13"/>
      <c r="Q89" s="14">
        <f t="shared" si="4"/>
        <v>84800</v>
      </c>
    </row>
    <row r="90" spans="1:17">
      <c r="A90" s="6"/>
      <c r="B90" s="6"/>
      <c r="C90" s="3">
        <v>86</v>
      </c>
      <c r="D90" s="4">
        <v>84587</v>
      </c>
      <c r="E90" s="4">
        <v>86496</v>
      </c>
      <c r="F90" s="4">
        <v>172275</v>
      </c>
      <c r="G90" s="4">
        <v>107327</v>
      </c>
      <c r="H90" s="5">
        <v>0</v>
      </c>
      <c r="I90" s="4">
        <v>12055620</v>
      </c>
      <c r="J90" s="4">
        <v>12162947</v>
      </c>
      <c r="L90" s="15">
        <f t="shared" si="5"/>
        <v>86</v>
      </c>
      <c r="M90" s="13"/>
      <c r="N90" s="14">
        <f t="shared" si="6"/>
        <v>86496</v>
      </c>
      <c r="O90" s="14"/>
      <c r="P90" s="13"/>
      <c r="Q90" s="14">
        <f t="shared" si="4"/>
        <v>86496</v>
      </c>
    </row>
    <row r="91" spans="1:17">
      <c r="A91" s="6"/>
      <c r="B91" s="6"/>
      <c r="C91" s="6">
        <v>87</v>
      </c>
      <c r="D91" s="7">
        <v>84391</v>
      </c>
      <c r="E91" s="7">
        <v>88226</v>
      </c>
      <c r="F91" s="7">
        <v>171875</v>
      </c>
      <c r="G91" s="7">
        <v>107594</v>
      </c>
      <c r="H91" s="8">
        <v>0</v>
      </c>
      <c r="I91" s="7">
        <v>12759171</v>
      </c>
      <c r="J91" s="7">
        <v>12866765</v>
      </c>
      <c r="L91" s="15">
        <f t="shared" si="5"/>
        <v>87</v>
      </c>
      <c r="M91" s="13"/>
      <c r="N91" s="14">
        <f t="shared" si="6"/>
        <v>88226</v>
      </c>
      <c r="O91" s="14"/>
      <c r="P91" s="13"/>
      <c r="Q91" s="14">
        <f t="shared" si="4"/>
        <v>88226</v>
      </c>
    </row>
    <row r="92" spans="1:17">
      <c r="A92" s="6"/>
      <c r="B92" s="6"/>
      <c r="C92" s="6">
        <v>88</v>
      </c>
      <c r="D92" s="7">
        <v>84216</v>
      </c>
      <c r="E92" s="7">
        <v>89990</v>
      </c>
      <c r="F92" s="7">
        <v>171519</v>
      </c>
      <c r="G92" s="7">
        <v>107714</v>
      </c>
      <c r="H92" s="8">
        <v>0</v>
      </c>
      <c r="I92" s="7">
        <v>13506759</v>
      </c>
      <c r="J92" s="7">
        <v>13614472</v>
      </c>
      <c r="L92" s="15">
        <f t="shared" si="5"/>
        <v>88</v>
      </c>
      <c r="M92" s="13"/>
      <c r="N92" s="14">
        <f t="shared" si="6"/>
        <v>89990</v>
      </c>
      <c r="O92" s="14"/>
      <c r="P92" s="13"/>
      <c r="Q92" s="14">
        <f t="shared" si="4"/>
        <v>89990</v>
      </c>
    </row>
    <row r="93" spans="1:17">
      <c r="A93" s="6"/>
      <c r="B93" s="6"/>
      <c r="C93" s="6">
        <v>89</v>
      </c>
      <c r="D93" s="7">
        <v>84061</v>
      </c>
      <c r="E93" s="7">
        <v>91790</v>
      </c>
      <c r="F93" s="7">
        <v>171203</v>
      </c>
      <c r="G93" s="7">
        <v>108029</v>
      </c>
      <c r="H93" s="8">
        <v>0</v>
      </c>
      <c r="I93" s="7">
        <v>14300958</v>
      </c>
      <c r="J93" s="7">
        <v>14408987</v>
      </c>
      <c r="L93" s="15">
        <f t="shared" si="5"/>
        <v>89</v>
      </c>
      <c r="M93" s="13"/>
      <c r="N93" s="14">
        <f t="shared" si="6"/>
        <v>91790</v>
      </c>
      <c r="O93" s="14"/>
      <c r="P93" s="13"/>
      <c r="Q93" s="14">
        <f t="shared" si="4"/>
        <v>91790</v>
      </c>
    </row>
    <row r="94" spans="1:17">
      <c r="A94" s="6"/>
      <c r="B94" s="6"/>
      <c r="C94" s="9">
        <v>90</v>
      </c>
      <c r="D94" s="10">
        <v>83926</v>
      </c>
      <c r="E94" s="10">
        <v>93626</v>
      </c>
      <c r="F94" s="10">
        <v>170928</v>
      </c>
      <c r="G94" s="10">
        <v>108197</v>
      </c>
      <c r="H94" s="11">
        <v>0</v>
      </c>
      <c r="I94" s="10">
        <v>15145054</v>
      </c>
      <c r="J94" s="10">
        <v>15253251</v>
      </c>
      <c r="L94" s="15">
        <f t="shared" si="5"/>
        <v>90</v>
      </c>
      <c r="M94" s="13"/>
      <c r="N94" s="14">
        <f t="shared" si="6"/>
        <v>93626</v>
      </c>
      <c r="O94" s="14"/>
      <c r="P94" s="13"/>
      <c r="Q94" s="14">
        <f t="shared" si="4"/>
        <v>93626</v>
      </c>
    </row>
    <row r="95" spans="1:17">
      <c r="B95" s="3"/>
      <c r="C95" s="3">
        <v>91</v>
      </c>
      <c r="D95" s="4">
        <v>83809</v>
      </c>
      <c r="E95" s="4">
        <v>95498</v>
      </c>
      <c r="F95" s="4">
        <v>170691</v>
      </c>
      <c r="G95" s="4">
        <v>108901</v>
      </c>
      <c r="H95" s="5">
        <v>0</v>
      </c>
      <c r="I95" s="4">
        <v>16041844</v>
      </c>
      <c r="J95" s="4">
        <v>16150744</v>
      </c>
      <c r="L95" s="15">
        <f t="shared" si="5"/>
        <v>91</v>
      </c>
      <c r="M95" s="13"/>
      <c r="N95" s="14">
        <f t="shared" si="6"/>
        <v>95498</v>
      </c>
      <c r="O95" s="14"/>
      <c r="P95" s="13"/>
      <c r="Q95" s="14">
        <f t="shared" si="4"/>
        <v>95498</v>
      </c>
    </row>
    <row r="96" spans="1:17">
      <c r="B96" s="6"/>
      <c r="C96" s="6">
        <v>92</v>
      </c>
      <c r="D96" s="7">
        <v>83711</v>
      </c>
      <c r="E96" s="7">
        <v>97408</v>
      </c>
      <c r="F96" s="7">
        <v>170491</v>
      </c>
      <c r="G96" s="7">
        <v>109284</v>
      </c>
      <c r="H96" s="8">
        <v>0</v>
      </c>
      <c r="I96" s="7">
        <v>16995178</v>
      </c>
      <c r="J96" s="7">
        <v>17104462</v>
      </c>
      <c r="L96" s="15">
        <f t="shared" si="5"/>
        <v>92</v>
      </c>
      <c r="M96" s="13"/>
      <c r="N96" s="14">
        <f t="shared" si="6"/>
        <v>97408</v>
      </c>
      <c r="O96" s="14"/>
      <c r="P96" s="13"/>
      <c r="Q96" s="14">
        <f t="shared" si="4"/>
        <v>97408</v>
      </c>
    </row>
    <row r="97" spans="2:17">
      <c r="B97" s="6"/>
      <c r="C97" s="6">
        <v>93</v>
      </c>
      <c r="D97" s="7">
        <v>83630</v>
      </c>
      <c r="E97" s="7">
        <v>99356</v>
      </c>
      <c r="F97" s="7">
        <v>170326</v>
      </c>
      <c r="G97" s="7">
        <v>109860</v>
      </c>
      <c r="H97" s="8">
        <v>0</v>
      </c>
      <c r="I97" s="7">
        <v>18008426</v>
      </c>
      <c r="J97" s="7">
        <v>18118287</v>
      </c>
      <c r="L97" s="15">
        <f t="shared" si="5"/>
        <v>93</v>
      </c>
      <c r="M97" s="13"/>
      <c r="N97" s="14">
        <f t="shared" si="6"/>
        <v>99356</v>
      </c>
      <c r="O97" s="14"/>
      <c r="P97" s="13"/>
      <c r="Q97" s="14">
        <f t="shared" si="4"/>
        <v>99356</v>
      </c>
    </row>
    <row r="98" spans="2:17">
      <c r="B98" s="6"/>
      <c r="C98" s="6">
        <v>94</v>
      </c>
      <c r="D98" s="7">
        <v>83567</v>
      </c>
      <c r="E98" s="7">
        <v>101343</v>
      </c>
      <c r="F98" s="7">
        <v>170197</v>
      </c>
      <c r="G98" s="7">
        <v>110287</v>
      </c>
      <c r="H98" s="8">
        <v>0</v>
      </c>
      <c r="I98" s="7">
        <v>19085847</v>
      </c>
      <c r="J98" s="7">
        <v>19196135</v>
      </c>
      <c r="L98" s="15">
        <f t="shared" si="5"/>
        <v>94</v>
      </c>
      <c r="M98" s="13"/>
      <c r="N98" s="14">
        <f t="shared" si="6"/>
        <v>101343</v>
      </c>
      <c r="O98" s="14"/>
      <c r="P98" s="13"/>
      <c r="Q98" s="14">
        <f t="shared" si="4"/>
        <v>101343</v>
      </c>
    </row>
    <row r="99" spans="2:17">
      <c r="B99" s="9"/>
      <c r="C99" s="9">
        <v>95</v>
      </c>
      <c r="D99" s="10">
        <v>83519</v>
      </c>
      <c r="E99" s="10">
        <v>103370</v>
      </c>
      <c r="F99" s="10">
        <v>170100</v>
      </c>
      <c r="G99" s="10">
        <v>110650</v>
      </c>
      <c r="H99" s="11">
        <v>0</v>
      </c>
      <c r="I99" s="10">
        <v>20231224</v>
      </c>
      <c r="J99" s="10">
        <v>20341874</v>
      </c>
      <c r="L99" s="15">
        <f t="shared" si="5"/>
        <v>95</v>
      </c>
      <c r="M99" s="13"/>
      <c r="N99" s="14">
        <f t="shared" si="6"/>
        <v>103370</v>
      </c>
      <c r="O99" s="14"/>
      <c r="P99" s="13"/>
      <c r="Q99" s="14">
        <f t="shared" si="4"/>
        <v>103370</v>
      </c>
    </row>
    <row r="100" spans="2:17">
      <c r="B100" s="3"/>
      <c r="C100" s="3">
        <v>96</v>
      </c>
      <c r="D100" s="4">
        <v>83488</v>
      </c>
      <c r="E100" s="4">
        <v>105438</v>
      </c>
      <c r="F100" s="4">
        <v>170036</v>
      </c>
      <c r="G100" s="4">
        <v>111034</v>
      </c>
      <c r="H100" s="5">
        <v>0</v>
      </c>
      <c r="I100" s="4">
        <v>21448893</v>
      </c>
      <c r="J100" s="4">
        <v>21559926</v>
      </c>
      <c r="L100" s="15">
        <f t="shared" si="5"/>
        <v>96</v>
      </c>
      <c r="M100" s="13"/>
      <c r="N100" s="14">
        <f t="shared" si="6"/>
        <v>105438</v>
      </c>
      <c r="O100" s="14"/>
      <c r="P100" s="13"/>
      <c r="Q100" s="14">
        <f t="shared" si="4"/>
        <v>105438</v>
      </c>
    </row>
    <row r="101" spans="2:17">
      <c r="B101" s="6"/>
      <c r="C101" s="6">
        <v>97</v>
      </c>
      <c r="D101" s="7">
        <v>83472</v>
      </c>
      <c r="E101" s="7">
        <v>107546</v>
      </c>
      <c r="F101" s="7">
        <v>170003</v>
      </c>
      <c r="G101" s="7">
        <v>111522</v>
      </c>
      <c r="H101" s="8">
        <v>0</v>
      </c>
      <c r="I101" s="7">
        <v>22743748</v>
      </c>
      <c r="J101" s="7">
        <v>22855270</v>
      </c>
      <c r="L101" s="15">
        <f t="shared" si="5"/>
        <v>97</v>
      </c>
      <c r="M101" s="13"/>
      <c r="N101" s="14">
        <f t="shared" si="6"/>
        <v>107546</v>
      </c>
      <c r="O101" s="14"/>
      <c r="P101" s="13"/>
      <c r="Q101" s="14">
        <f t="shared" si="4"/>
        <v>107546</v>
      </c>
    </row>
    <row r="102" spans="2:17">
      <c r="B102" s="6"/>
      <c r="C102" s="6">
        <v>98</v>
      </c>
      <c r="D102" s="7">
        <v>83470</v>
      </c>
      <c r="E102" s="7">
        <v>109697</v>
      </c>
      <c r="F102" s="7">
        <v>170001</v>
      </c>
      <c r="G102" s="7">
        <v>112031</v>
      </c>
      <c r="H102" s="8">
        <v>0</v>
      </c>
      <c r="I102" s="7">
        <v>24120560</v>
      </c>
      <c r="J102" s="7">
        <v>24232591</v>
      </c>
      <c r="L102" s="15">
        <f t="shared" si="5"/>
        <v>98</v>
      </c>
      <c r="M102" s="13"/>
      <c r="N102" s="14">
        <f t="shared" si="6"/>
        <v>109697</v>
      </c>
      <c r="O102" s="14"/>
      <c r="P102" s="13"/>
      <c r="Q102" s="14">
        <f t="shared" si="4"/>
        <v>109697</v>
      </c>
    </row>
    <row r="103" spans="2:17">
      <c r="B103" s="6"/>
      <c r="C103" s="6">
        <v>99</v>
      </c>
      <c r="D103" s="7">
        <v>83470</v>
      </c>
      <c r="E103" s="7">
        <v>111891</v>
      </c>
      <c r="F103" s="7">
        <v>170001</v>
      </c>
      <c r="G103" s="7">
        <v>112541</v>
      </c>
      <c r="H103" s="8">
        <v>26</v>
      </c>
      <c r="I103" s="7">
        <v>25584658</v>
      </c>
      <c r="J103" s="7">
        <v>25697224</v>
      </c>
      <c r="L103" s="15">
        <f t="shared" si="5"/>
        <v>99</v>
      </c>
      <c r="M103" s="13"/>
      <c r="N103" s="14">
        <f t="shared" si="6"/>
        <v>111891</v>
      </c>
      <c r="O103" s="14"/>
      <c r="P103" s="13"/>
      <c r="Q103" s="14">
        <f t="shared" si="4"/>
        <v>111891</v>
      </c>
    </row>
    <row r="104" spans="2:17">
      <c r="B104" s="9"/>
      <c r="C104" s="9">
        <v>100</v>
      </c>
      <c r="D104" s="10">
        <v>83470</v>
      </c>
      <c r="E104" s="10">
        <v>114129</v>
      </c>
      <c r="F104" s="10">
        <v>170001</v>
      </c>
      <c r="G104" s="10">
        <v>113221</v>
      </c>
      <c r="H104" s="11">
        <v>81</v>
      </c>
      <c r="I104" s="10">
        <v>27141433</v>
      </c>
      <c r="J104" s="10">
        <v>27254735</v>
      </c>
      <c r="L104" s="15">
        <f t="shared" si="5"/>
        <v>100</v>
      </c>
      <c r="M104" s="13"/>
      <c r="N104" s="14">
        <f t="shared" si="6"/>
        <v>114129</v>
      </c>
      <c r="O104" s="14"/>
      <c r="P104" s="14">
        <f>J104</f>
        <v>27254735</v>
      </c>
      <c r="Q104" s="14">
        <f>M104+N104+P104+O104</f>
        <v>27368864</v>
      </c>
    </row>
    <row r="105" spans="2:17">
      <c r="P105" s="16" t="s">
        <v>4</v>
      </c>
      <c r="Q105" s="17">
        <f>IRR(Q4:Q104)</f>
        <v>6.5205035968181946E-2</v>
      </c>
    </row>
  </sheetData>
  <mergeCells count="9">
    <mergeCell ref="F1:F3"/>
    <mergeCell ref="G1:J1"/>
    <mergeCell ref="H2:I2"/>
    <mergeCell ref="J2:J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3B875-31A2-6246-87DE-AA52D8B4B843}">
  <dimension ref="A1:L93"/>
  <sheetViews>
    <sheetView workbookViewId="0">
      <selection activeCell="G23" sqref="G23"/>
    </sheetView>
  </sheetViews>
  <sheetFormatPr baseColWidth="10" defaultRowHeight="16"/>
  <sheetData>
    <row r="1" spans="1:12">
      <c r="A1" s="49" t="s">
        <v>29</v>
      </c>
      <c r="B1" s="37" t="s">
        <v>7</v>
      </c>
      <c r="C1" s="37" t="s">
        <v>8</v>
      </c>
      <c r="D1" s="54" t="s">
        <v>9</v>
      </c>
      <c r="E1" s="55"/>
      <c r="F1" s="55"/>
      <c r="G1" s="56"/>
      <c r="H1" s="54" t="s">
        <v>10</v>
      </c>
      <c r="I1" s="55"/>
      <c r="J1" s="55"/>
      <c r="K1" s="55"/>
      <c r="L1" s="56"/>
    </row>
    <row r="2" spans="1:12">
      <c r="A2" s="50"/>
      <c r="B2" s="35"/>
      <c r="C2" s="35"/>
      <c r="D2" s="19" t="s">
        <v>11</v>
      </c>
      <c r="E2" s="57" t="s">
        <v>12</v>
      </c>
      <c r="F2" s="58"/>
      <c r="G2" s="37" t="s">
        <v>13</v>
      </c>
      <c r="H2" s="37" t="s">
        <v>14</v>
      </c>
      <c r="I2" s="57" t="s">
        <v>12</v>
      </c>
      <c r="J2" s="58"/>
      <c r="K2" s="59" t="s">
        <v>15</v>
      </c>
      <c r="L2" s="52" t="s">
        <v>16</v>
      </c>
    </row>
    <row r="3" spans="1:12" ht="30">
      <c r="A3" s="51"/>
      <c r="B3" s="36"/>
      <c r="C3" s="36"/>
      <c r="D3" s="2" t="s">
        <v>17</v>
      </c>
      <c r="E3" s="2" t="s">
        <v>18</v>
      </c>
      <c r="F3" s="2" t="s">
        <v>19</v>
      </c>
      <c r="G3" s="36"/>
      <c r="H3" s="36"/>
      <c r="I3" s="2" t="s">
        <v>20</v>
      </c>
      <c r="J3" s="2" t="s">
        <v>21</v>
      </c>
      <c r="K3" s="60"/>
      <c r="L3" s="53"/>
    </row>
    <row r="4" spans="1:12">
      <c r="A4" s="6">
        <v>68</v>
      </c>
      <c r="B4" s="3">
        <v>1</v>
      </c>
      <c r="C4" s="20">
        <v>30000</v>
      </c>
      <c r="D4" s="5">
        <v>31</v>
      </c>
      <c r="E4" s="5">
        <v>0</v>
      </c>
      <c r="F4" s="5">
        <v>0</v>
      </c>
      <c r="G4" s="5">
        <v>31</v>
      </c>
      <c r="H4" s="4">
        <v>31500</v>
      </c>
      <c r="I4" s="5">
        <v>0</v>
      </c>
      <c r="J4" s="5">
        <v>0</v>
      </c>
      <c r="K4" s="5">
        <v>31</v>
      </c>
      <c r="L4" s="4">
        <v>31500</v>
      </c>
    </row>
    <row r="5" spans="1:12">
      <c r="A5" s="6">
        <v>69</v>
      </c>
      <c r="B5" s="6">
        <v>2</v>
      </c>
      <c r="C5" s="21">
        <v>60000</v>
      </c>
      <c r="D5" s="8">
        <v>31</v>
      </c>
      <c r="E5" s="8">
        <v>0</v>
      </c>
      <c r="F5" s="8">
        <v>0</v>
      </c>
      <c r="G5" s="8">
        <v>31</v>
      </c>
      <c r="H5" s="7">
        <v>63000</v>
      </c>
      <c r="I5" s="8">
        <v>0</v>
      </c>
      <c r="J5" s="8">
        <v>0</v>
      </c>
      <c r="K5" s="8">
        <v>31</v>
      </c>
      <c r="L5" s="7">
        <v>63000</v>
      </c>
    </row>
    <row r="6" spans="1:12">
      <c r="A6" s="6">
        <v>70</v>
      </c>
      <c r="B6" s="6">
        <v>3</v>
      </c>
      <c r="C6" s="21">
        <v>90000</v>
      </c>
      <c r="D6" s="7">
        <v>7967</v>
      </c>
      <c r="E6" s="7">
        <v>2482</v>
      </c>
      <c r="F6" s="7">
        <v>4634</v>
      </c>
      <c r="G6" s="7">
        <v>15083</v>
      </c>
      <c r="H6" s="7">
        <v>94500</v>
      </c>
      <c r="I6" s="7">
        <v>2482</v>
      </c>
      <c r="J6" s="7">
        <v>4634</v>
      </c>
      <c r="K6" s="7">
        <v>15083</v>
      </c>
      <c r="L6" s="7">
        <v>94500</v>
      </c>
    </row>
    <row r="7" spans="1:12">
      <c r="A7" s="6">
        <v>71</v>
      </c>
      <c r="B7" s="6">
        <v>4</v>
      </c>
      <c r="C7" s="21">
        <v>120000</v>
      </c>
      <c r="D7" s="7">
        <v>22370</v>
      </c>
      <c r="E7" s="7">
        <v>5001</v>
      </c>
      <c r="F7" s="7">
        <v>10277</v>
      </c>
      <c r="G7" s="7">
        <v>37649</v>
      </c>
      <c r="H7" s="7">
        <v>126000</v>
      </c>
      <c r="I7" s="7">
        <v>5001</v>
      </c>
      <c r="J7" s="7">
        <v>10277</v>
      </c>
      <c r="K7" s="7">
        <v>37649</v>
      </c>
      <c r="L7" s="7">
        <v>126000</v>
      </c>
    </row>
    <row r="8" spans="1:12">
      <c r="A8" s="9">
        <v>72</v>
      </c>
      <c r="B8" s="9">
        <v>5</v>
      </c>
      <c r="C8" s="22">
        <v>150000</v>
      </c>
      <c r="D8" s="10">
        <v>42288</v>
      </c>
      <c r="E8" s="10">
        <v>7559</v>
      </c>
      <c r="F8" s="10">
        <v>20410</v>
      </c>
      <c r="G8" s="10">
        <v>70256</v>
      </c>
      <c r="H8" s="10">
        <v>157500</v>
      </c>
      <c r="I8" s="10">
        <v>7559</v>
      </c>
      <c r="J8" s="10">
        <v>20410</v>
      </c>
      <c r="K8" s="10">
        <v>70256</v>
      </c>
      <c r="L8" s="10">
        <v>157500</v>
      </c>
    </row>
    <row r="9" spans="1:12">
      <c r="A9" s="6">
        <v>73</v>
      </c>
      <c r="B9" s="3">
        <v>6</v>
      </c>
      <c r="C9" s="20">
        <v>150000</v>
      </c>
      <c r="D9" s="4">
        <v>55771</v>
      </c>
      <c r="E9" s="4">
        <v>10154</v>
      </c>
      <c r="F9" s="4">
        <v>65534</v>
      </c>
      <c r="G9" s="4">
        <v>131460</v>
      </c>
      <c r="H9" s="4">
        <v>157500</v>
      </c>
      <c r="I9" s="4">
        <v>10154</v>
      </c>
      <c r="J9" s="4">
        <v>65534</v>
      </c>
      <c r="K9" s="4">
        <v>131460</v>
      </c>
      <c r="L9" s="4">
        <v>157500</v>
      </c>
    </row>
    <row r="10" spans="1:12">
      <c r="A10" s="6">
        <v>74</v>
      </c>
      <c r="B10" s="6">
        <v>7</v>
      </c>
      <c r="C10" s="21">
        <v>150000</v>
      </c>
      <c r="D10" s="7">
        <v>68948</v>
      </c>
      <c r="E10" s="7">
        <v>12789</v>
      </c>
      <c r="F10" s="7">
        <v>69272</v>
      </c>
      <c r="G10" s="7">
        <v>151008</v>
      </c>
      <c r="H10" s="7">
        <v>157500</v>
      </c>
      <c r="I10" s="7">
        <v>12789</v>
      </c>
      <c r="J10" s="7">
        <v>69272</v>
      </c>
      <c r="K10" s="7">
        <v>151008</v>
      </c>
      <c r="L10" s="7">
        <v>157500</v>
      </c>
    </row>
    <row r="11" spans="1:12">
      <c r="A11" s="6">
        <v>75</v>
      </c>
      <c r="B11" s="6">
        <v>8</v>
      </c>
      <c r="C11" s="21">
        <v>150000</v>
      </c>
      <c r="D11" s="7">
        <v>88866</v>
      </c>
      <c r="E11" s="7">
        <v>15463</v>
      </c>
      <c r="F11" s="7">
        <v>69852</v>
      </c>
      <c r="G11" s="7">
        <v>174181</v>
      </c>
      <c r="H11" s="7">
        <v>157500</v>
      </c>
      <c r="I11" s="7">
        <v>15463</v>
      </c>
      <c r="J11" s="7">
        <v>69852</v>
      </c>
      <c r="K11" s="7">
        <v>174181</v>
      </c>
      <c r="L11" s="7">
        <v>174181</v>
      </c>
    </row>
    <row r="12" spans="1:12">
      <c r="A12" s="6">
        <v>76</v>
      </c>
      <c r="B12" s="6">
        <v>9</v>
      </c>
      <c r="C12" s="21">
        <v>150000</v>
      </c>
      <c r="D12" s="7">
        <v>91624</v>
      </c>
      <c r="E12" s="7">
        <v>18177</v>
      </c>
      <c r="F12" s="7">
        <v>76284</v>
      </c>
      <c r="G12" s="7">
        <v>186085</v>
      </c>
      <c r="H12" s="7">
        <v>157500</v>
      </c>
      <c r="I12" s="7">
        <v>18177</v>
      </c>
      <c r="J12" s="7">
        <v>76284</v>
      </c>
      <c r="K12" s="7">
        <v>186085</v>
      </c>
      <c r="L12" s="7">
        <v>186085</v>
      </c>
    </row>
    <row r="13" spans="1:12">
      <c r="A13" s="9">
        <v>77</v>
      </c>
      <c r="B13" s="9">
        <v>10</v>
      </c>
      <c r="C13" s="22">
        <v>150000</v>
      </c>
      <c r="D13" s="10">
        <v>94076</v>
      </c>
      <c r="E13" s="10">
        <v>18745</v>
      </c>
      <c r="F13" s="10">
        <v>83897</v>
      </c>
      <c r="G13" s="10">
        <v>196717</v>
      </c>
      <c r="H13" s="10">
        <v>157500</v>
      </c>
      <c r="I13" s="10">
        <v>18745</v>
      </c>
      <c r="J13" s="10">
        <v>83897</v>
      </c>
      <c r="K13" s="10">
        <v>196717</v>
      </c>
      <c r="L13" s="10">
        <v>196717</v>
      </c>
    </row>
    <row r="14" spans="1:12">
      <c r="A14" s="6">
        <v>78</v>
      </c>
      <c r="B14" s="3">
        <v>11</v>
      </c>
      <c r="C14" s="20">
        <v>150000</v>
      </c>
      <c r="D14" s="4">
        <v>97140</v>
      </c>
      <c r="E14" s="4">
        <v>19326</v>
      </c>
      <c r="F14" s="4">
        <v>94471</v>
      </c>
      <c r="G14" s="4">
        <v>210938</v>
      </c>
      <c r="H14" s="4">
        <v>157500</v>
      </c>
      <c r="I14" s="4">
        <v>19326</v>
      </c>
      <c r="J14" s="4">
        <v>94471</v>
      </c>
      <c r="K14" s="4">
        <v>210938</v>
      </c>
      <c r="L14" s="4">
        <v>210938</v>
      </c>
    </row>
    <row r="15" spans="1:12">
      <c r="A15" s="6">
        <v>79</v>
      </c>
      <c r="B15" s="6">
        <v>12</v>
      </c>
      <c r="C15" s="21">
        <v>150000</v>
      </c>
      <c r="D15" s="7">
        <v>99898</v>
      </c>
      <c r="E15" s="7">
        <v>19922</v>
      </c>
      <c r="F15" s="7">
        <v>106066</v>
      </c>
      <c r="G15" s="7">
        <v>225887</v>
      </c>
      <c r="H15" s="7">
        <v>157500</v>
      </c>
      <c r="I15" s="7">
        <v>19922</v>
      </c>
      <c r="J15" s="7">
        <v>106066</v>
      </c>
      <c r="K15" s="7">
        <v>225887</v>
      </c>
      <c r="L15" s="7">
        <v>225887</v>
      </c>
    </row>
    <row r="16" spans="1:12">
      <c r="A16" s="6">
        <v>80</v>
      </c>
      <c r="B16" s="6">
        <v>13</v>
      </c>
      <c r="C16" s="21">
        <v>150000</v>
      </c>
      <c r="D16" s="7">
        <v>102962</v>
      </c>
      <c r="E16" s="7">
        <v>20533</v>
      </c>
      <c r="F16" s="7">
        <v>118363</v>
      </c>
      <c r="G16" s="7">
        <v>241858</v>
      </c>
      <c r="H16" s="7">
        <v>157500</v>
      </c>
      <c r="I16" s="7">
        <v>20533</v>
      </c>
      <c r="J16" s="7">
        <v>118363</v>
      </c>
      <c r="K16" s="7">
        <v>241858</v>
      </c>
      <c r="L16" s="7">
        <v>241858</v>
      </c>
    </row>
    <row r="17" spans="1:12">
      <c r="A17" s="6">
        <v>81</v>
      </c>
      <c r="B17" s="6">
        <v>14</v>
      </c>
      <c r="C17" s="21">
        <v>150000</v>
      </c>
      <c r="D17" s="7">
        <v>106027</v>
      </c>
      <c r="E17" s="7">
        <v>21159</v>
      </c>
      <c r="F17" s="7">
        <v>132348</v>
      </c>
      <c r="G17" s="7">
        <v>259534</v>
      </c>
      <c r="H17" s="7">
        <v>157500</v>
      </c>
      <c r="I17" s="7">
        <v>21159</v>
      </c>
      <c r="J17" s="7">
        <v>132348</v>
      </c>
      <c r="K17" s="7">
        <v>259534</v>
      </c>
      <c r="L17" s="7">
        <v>259534</v>
      </c>
    </row>
    <row r="18" spans="1:12">
      <c r="A18" s="9">
        <v>82</v>
      </c>
      <c r="B18" s="9">
        <v>15</v>
      </c>
      <c r="C18" s="22">
        <v>150000</v>
      </c>
      <c r="D18" s="10">
        <v>109091</v>
      </c>
      <c r="E18" s="10">
        <v>21800</v>
      </c>
      <c r="F18" s="10">
        <v>147378</v>
      </c>
      <c r="G18" s="10">
        <v>278269</v>
      </c>
      <c r="H18" s="10">
        <v>157500</v>
      </c>
      <c r="I18" s="10">
        <v>21800</v>
      </c>
      <c r="J18" s="10">
        <v>147378</v>
      </c>
      <c r="K18" s="10">
        <v>278269</v>
      </c>
      <c r="L18" s="10">
        <v>278269</v>
      </c>
    </row>
    <row r="19" spans="1:12">
      <c r="A19" s="6">
        <v>83</v>
      </c>
      <c r="B19" s="3">
        <v>16</v>
      </c>
      <c r="C19" s="20">
        <v>150000</v>
      </c>
      <c r="D19" s="4">
        <v>116446</v>
      </c>
      <c r="E19" s="4">
        <v>22456</v>
      </c>
      <c r="F19" s="4">
        <v>160499</v>
      </c>
      <c r="G19" s="4">
        <v>299402</v>
      </c>
      <c r="H19" s="4">
        <v>157500</v>
      </c>
      <c r="I19" s="4">
        <v>22456</v>
      </c>
      <c r="J19" s="4">
        <v>160499</v>
      </c>
      <c r="K19" s="4">
        <v>299402</v>
      </c>
      <c r="L19" s="4">
        <v>299402</v>
      </c>
    </row>
    <row r="20" spans="1:12">
      <c r="A20" s="6">
        <v>84</v>
      </c>
      <c r="B20" s="6">
        <v>17</v>
      </c>
      <c r="C20" s="21">
        <v>150000</v>
      </c>
      <c r="D20" s="7">
        <v>124107</v>
      </c>
      <c r="E20" s="7">
        <v>23129</v>
      </c>
      <c r="F20" s="7">
        <v>174999</v>
      </c>
      <c r="G20" s="7">
        <v>322235</v>
      </c>
      <c r="H20" s="7">
        <v>157500</v>
      </c>
      <c r="I20" s="7">
        <v>23129</v>
      </c>
      <c r="J20" s="7">
        <v>174999</v>
      </c>
      <c r="K20" s="7">
        <v>322235</v>
      </c>
      <c r="L20" s="7">
        <v>322235</v>
      </c>
    </row>
    <row r="21" spans="1:12">
      <c r="A21" s="6">
        <v>85</v>
      </c>
      <c r="B21" s="6">
        <v>18</v>
      </c>
      <c r="C21" s="21">
        <v>150000</v>
      </c>
      <c r="D21" s="7">
        <v>149847</v>
      </c>
      <c r="E21" s="7">
        <v>23818</v>
      </c>
      <c r="F21" s="7">
        <v>175695</v>
      </c>
      <c r="G21" s="7">
        <v>349361</v>
      </c>
      <c r="H21" s="7">
        <v>157500</v>
      </c>
      <c r="I21" s="7">
        <v>23818</v>
      </c>
      <c r="J21" s="7">
        <v>175695</v>
      </c>
      <c r="K21" s="7">
        <v>349361</v>
      </c>
      <c r="L21" s="7">
        <v>349361</v>
      </c>
    </row>
    <row r="22" spans="1:12">
      <c r="A22" s="6">
        <v>86</v>
      </c>
      <c r="B22" s="6">
        <v>19</v>
      </c>
      <c r="C22" s="21">
        <v>150000</v>
      </c>
      <c r="D22" s="7">
        <v>151073</v>
      </c>
      <c r="E22" s="7">
        <v>24524</v>
      </c>
      <c r="F22" s="7">
        <v>201224</v>
      </c>
      <c r="G22" s="7">
        <v>376821</v>
      </c>
      <c r="H22" s="7">
        <v>157500</v>
      </c>
      <c r="I22" s="7">
        <v>24524</v>
      </c>
      <c r="J22" s="7">
        <v>201224</v>
      </c>
      <c r="K22" s="7">
        <v>376821</v>
      </c>
      <c r="L22" s="7">
        <v>376821</v>
      </c>
    </row>
    <row r="23" spans="1:12">
      <c r="A23" s="9">
        <v>87</v>
      </c>
      <c r="B23" s="9">
        <v>20</v>
      </c>
      <c r="C23" s="22">
        <v>150000</v>
      </c>
      <c r="D23" s="10">
        <v>151379</v>
      </c>
      <c r="E23" s="10">
        <v>25248</v>
      </c>
      <c r="F23" s="10">
        <v>228199</v>
      </c>
      <c r="G23" s="10">
        <v>404826</v>
      </c>
      <c r="H23" s="10">
        <v>157500</v>
      </c>
      <c r="I23" s="10">
        <v>25248</v>
      </c>
      <c r="J23" s="10">
        <v>228199</v>
      </c>
      <c r="K23" s="10">
        <v>404826</v>
      </c>
      <c r="L23" s="10">
        <v>404826</v>
      </c>
    </row>
    <row r="24" spans="1:12">
      <c r="A24" s="6">
        <v>88</v>
      </c>
      <c r="B24" s="3">
        <v>21</v>
      </c>
      <c r="C24" s="20">
        <v>150000</v>
      </c>
      <c r="D24" s="4">
        <v>151686</v>
      </c>
      <c r="E24" s="4">
        <v>25989</v>
      </c>
      <c r="F24" s="4">
        <v>264943</v>
      </c>
      <c r="G24" s="4">
        <v>442618</v>
      </c>
      <c r="H24" s="4">
        <v>157500</v>
      </c>
      <c r="I24" s="4">
        <v>25989</v>
      </c>
      <c r="J24" s="4">
        <v>264943</v>
      </c>
      <c r="K24" s="4">
        <v>442618</v>
      </c>
      <c r="L24" s="4">
        <v>442618</v>
      </c>
    </row>
    <row r="25" spans="1:12">
      <c r="A25" s="6">
        <v>89</v>
      </c>
      <c r="B25" s="6">
        <v>22</v>
      </c>
      <c r="C25" s="21">
        <v>150000</v>
      </c>
      <c r="D25" s="7">
        <v>151992</v>
      </c>
      <c r="E25" s="7">
        <v>26748</v>
      </c>
      <c r="F25" s="7">
        <v>303864</v>
      </c>
      <c r="G25" s="7">
        <v>482605</v>
      </c>
      <c r="H25" s="7">
        <v>157500</v>
      </c>
      <c r="I25" s="7">
        <v>26748</v>
      </c>
      <c r="J25" s="7">
        <v>303864</v>
      </c>
      <c r="K25" s="7">
        <v>482605</v>
      </c>
      <c r="L25" s="7">
        <v>482605</v>
      </c>
    </row>
    <row r="26" spans="1:12">
      <c r="A26" s="6">
        <v>90</v>
      </c>
      <c r="B26" s="6">
        <v>23</v>
      </c>
      <c r="C26" s="21">
        <v>150000</v>
      </c>
      <c r="D26" s="7">
        <v>152299</v>
      </c>
      <c r="E26" s="7">
        <v>27526</v>
      </c>
      <c r="F26" s="7">
        <v>347321</v>
      </c>
      <c r="G26" s="7">
        <v>527146</v>
      </c>
      <c r="H26" s="7">
        <v>157500</v>
      </c>
      <c r="I26" s="7">
        <v>27526</v>
      </c>
      <c r="J26" s="7">
        <v>347321</v>
      </c>
      <c r="K26" s="7">
        <v>527146</v>
      </c>
      <c r="L26" s="7">
        <v>527146</v>
      </c>
    </row>
    <row r="27" spans="1:12">
      <c r="A27" s="6">
        <v>91</v>
      </c>
      <c r="B27" s="6">
        <v>24</v>
      </c>
      <c r="C27" s="21">
        <v>150000</v>
      </c>
      <c r="D27" s="7">
        <v>152605</v>
      </c>
      <c r="E27" s="7">
        <v>28323</v>
      </c>
      <c r="F27" s="7">
        <v>388321</v>
      </c>
      <c r="G27" s="7">
        <v>569249</v>
      </c>
      <c r="H27" s="7">
        <v>157500</v>
      </c>
      <c r="I27" s="7">
        <v>28323</v>
      </c>
      <c r="J27" s="7">
        <v>388321</v>
      </c>
      <c r="K27" s="7">
        <v>569249</v>
      </c>
      <c r="L27" s="7">
        <v>569249</v>
      </c>
    </row>
    <row r="28" spans="1:12">
      <c r="A28" s="9">
        <v>92</v>
      </c>
      <c r="B28" s="9">
        <v>25</v>
      </c>
      <c r="C28" s="22">
        <v>150000</v>
      </c>
      <c r="D28" s="10">
        <v>152912</v>
      </c>
      <c r="E28" s="10">
        <v>29140</v>
      </c>
      <c r="F28" s="10">
        <v>432893</v>
      </c>
      <c r="G28" s="10">
        <v>614944</v>
      </c>
      <c r="H28" s="10">
        <v>157500</v>
      </c>
      <c r="I28" s="10">
        <v>29140</v>
      </c>
      <c r="J28" s="10">
        <v>432893</v>
      </c>
      <c r="K28" s="10">
        <v>614944</v>
      </c>
      <c r="L28" s="10">
        <v>614944</v>
      </c>
    </row>
    <row r="29" spans="1:12">
      <c r="A29" s="6">
        <v>93</v>
      </c>
      <c r="B29" s="3">
        <v>26</v>
      </c>
      <c r="C29" s="20">
        <v>150000</v>
      </c>
      <c r="D29" s="4">
        <v>153218</v>
      </c>
      <c r="E29" s="4">
        <v>29976</v>
      </c>
      <c r="F29" s="4">
        <v>480733</v>
      </c>
      <c r="G29" s="4">
        <v>663927</v>
      </c>
      <c r="H29" s="4">
        <v>157500</v>
      </c>
      <c r="I29" s="4">
        <v>29976</v>
      </c>
      <c r="J29" s="4">
        <v>480733</v>
      </c>
      <c r="K29" s="4">
        <v>663927</v>
      </c>
      <c r="L29" s="4">
        <v>663927</v>
      </c>
    </row>
    <row r="30" spans="1:12">
      <c r="A30" s="6">
        <v>94</v>
      </c>
      <c r="B30" s="6">
        <v>27</v>
      </c>
      <c r="C30" s="21">
        <v>150000</v>
      </c>
      <c r="D30" s="7">
        <v>153524</v>
      </c>
      <c r="E30" s="7">
        <v>30833</v>
      </c>
      <c r="F30" s="7">
        <v>531536</v>
      </c>
      <c r="G30" s="7">
        <v>715894</v>
      </c>
      <c r="H30" s="7">
        <v>157500</v>
      </c>
      <c r="I30" s="7">
        <v>30833</v>
      </c>
      <c r="J30" s="7">
        <v>531536</v>
      </c>
      <c r="K30" s="7">
        <v>715894</v>
      </c>
      <c r="L30" s="7">
        <v>715894</v>
      </c>
    </row>
    <row r="31" spans="1:12">
      <c r="A31" s="6">
        <v>95</v>
      </c>
      <c r="B31" s="6">
        <v>28</v>
      </c>
      <c r="C31" s="21">
        <v>150000</v>
      </c>
      <c r="D31" s="7">
        <v>153831</v>
      </c>
      <c r="E31" s="7">
        <v>31711</v>
      </c>
      <c r="F31" s="7">
        <v>579922</v>
      </c>
      <c r="G31" s="7">
        <v>765465</v>
      </c>
      <c r="H31" s="7">
        <v>157500</v>
      </c>
      <c r="I31" s="7">
        <v>31711</v>
      </c>
      <c r="J31" s="7">
        <v>579922</v>
      </c>
      <c r="K31" s="7">
        <v>765465</v>
      </c>
      <c r="L31" s="7">
        <v>765465</v>
      </c>
    </row>
    <row r="32" spans="1:12">
      <c r="A32" s="6">
        <v>96</v>
      </c>
      <c r="B32" s="6">
        <v>29</v>
      </c>
      <c r="C32" s="21">
        <v>150000</v>
      </c>
      <c r="D32" s="7">
        <v>154137</v>
      </c>
      <c r="E32" s="7">
        <v>32611</v>
      </c>
      <c r="F32" s="7">
        <v>629949</v>
      </c>
      <c r="G32" s="7">
        <v>816697</v>
      </c>
      <c r="H32" s="7">
        <v>157500</v>
      </c>
      <c r="I32" s="7">
        <v>32611</v>
      </c>
      <c r="J32" s="7">
        <v>629949</v>
      </c>
      <c r="K32" s="7">
        <v>816697</v>
      </c>
      <c r="L32" s="7">
        <v>816697</v>
      </c>
    </row>
    <row r="33" spans="1:12">
      <c r="A33" s="6">
        <v>97</v>
      </c>
      <c r="B33" s="9">
        <v>30</v>
      </c>
      <c r="C33" s="22">
        <v>150000</v>
      </c>
      <c r="D33" s="10">
        <v>154444</v>
      </c>
      <c r="E33" s="10">
        <v>33532</v>
      </c>
      <c r="F33" s="10">
        <v>690241</v>
      </c>
      <c r="G33" s="10">
        <v>878217</v>
      </c>
      <c r="H33" s="10">
        <v>157500</v>
      </c>
      <c r="I33" s="10">
        <v>33532</v>
      </c>
      <c r="J33" s="10">
        <v>690241</v>
      </c>
      <c r="K33" s="10">
        <v>878217</v>
      </c>
      <c r="L33" s="10">
        <v>878217</v>
      </c>
    </row>
    <row r="34" spans="1:12">
      <c r="A34" s="6">
        <v>98</v>
      </c>
      <c r="B34" s="3">
        <v>31</v>
      </c>
      <c r="C34" s="20">
        <v>150000</v>
      </c>
      <c r="D34" s="4">
        <v>154750</v>
      </c>
      <c r="E34" s="4">
        <v>34476</v>
      </c>
      <c r="F34" s="4">
        <v>746076</v>
      </c>
      <c r="G34" s="4">
        <v>935302</v>
      </c>
      <c r="H34" s="4">
        <v>157500</v>
      </c>
      <c r="I34" s="4">
        <v>34476</v>
      </c>
      <c r="J34" s="4">
        <v>746076</v>
      </c>
      <c r="K34" s="4">
        <v>935302</v>
      </c>
      <c r="L34" s="4">
        <v>935302</v>
      </c>
    </row>
    <row r="35" spans="1:12">
      <c r="A35" s="6">
        <v>99</v>
      </c>
      <c r="B35" s="6">
        <v>32</v>
      </c>
      <c r="C35" s="21">
        <v>150000</v>
      </c>
      <c r="D35" s="7">
        <v>155057</v>
      </c>
      <c r="E35" s="7">
        <v>35444</v>
      </c>
      <c r="F35" s="7">
        <v>805596</v>
      </c>
      <c r="G35" s="7">
        <v>996096</v>
      </c>
      <c r="H35" s="7">
        <v>157500</v>
      </c>
      <c r="I35" s="7">
        <v>35444</v>
      </c>
      <c r="J35" s="7">
        <v>805596</v>
      </c>
      <c r="K35" s="7">
        <v>996096</v>
      </c>
      <c r="L35" s="7">
        <v>996096</v>
      </c>
    </row>
    <row r="36" spans="1:12">
      <c r="A36" s="6">
        <v>100</v>
      </c>
      <c r="B36" s="6">
        <v>33</v>
      </c>
      <c r="C36" s="21">
        <v>150000</v>
      </c>
      <c r="D36" s="7">
        <v>155976</v>
      </c>
      <c r="E36" s="7">
        <v>36435</v>
      </c>
      <c r="F36" s="7">
        <v>868432</v>
      </c>
      <c r="G36" s="7">
        <v>1060843</v>
      </c>
      <c r="H36" s="7">
        <v>157500</v>
      </c>
      <c r="I36" s="7">
        <v>36435</v>
      </c>
      <c r="J36" s="7">
        <v>868432</v>
      </c>
      <c r="K36" s="7">
        <v>1060843</v>
      </c>
      <c r="L36" s="7">
        <v>1060843</v>
      </c>
    </row>
    <row r="37" spans="1:12">
      <c r="B37" s="6">
        <v>34</v>
      </c>
      <c r="C37" s="21">
        <v>150000</v>
      </c>
      <c r="D37" s="7">
        <v>156895</v>
      </c>
      <c r="E37" s="7">
        <v>37450</v>
      </c>
      <c r="F37" s="7">
        <v>935452</v>
      </c>
      <c r="G37" s="7">
        <v>1129797</v>
      </c>
      <c r="H37" s="7">
        <v>157500</v>
      </c>
      <c r="I37" s="7">
        <v>37450</v>
      </c>
      <c r="J37" s="7">
        <v>935452</v>
      </c>
      <c r="K37" s="7">
        <v>1129797</v>
      </c>
      <c r="L37" s="7">
        <v>1129797</v>
      </c>
    </row>
    <row r="38" spans="1:12">
      <c r="B38" s="9">
        <v>35</v>
      </c>
      <c r="C38" s="22">
        <v>150000</v>
      </c>
      <c r="D38" s="10">
        <v>157815</v>
      </c>
      <c r="E38" s="10">
        <v>38490</v>
      </c>
      <c r="F38" s="10">
        <v>1006930</v>
      </c>
      <c r="G38" s="10">
        <v>1203234</v>
      </c>
      <c r="H38" s="10">
        <v>157815</v>
      </c>
      <c r="I38" s="10">
        <v>38490</v>
      </c>
      <c r="J38" s="10">
        <v>1006930</v>
      </c>
      <c r="K38" s="10">
        <v>1203234</v>
      </c>
      <c r="L38" s="10">
        <v>1203234</v>
      </c>
    </row>
    <row r="39" spans="1:12">
      <c r="B39" s="3">
        <v>36</v>
      </c>
      <c r="C39" s="20">
        <v>150000</v>
      </c>
      <c r="D39" s="4">
        <v>158427</v>
      </c>
      <c r="E39" s="4">
        <v>39555</v>
      </c>
      <c r="F39" s="4">
        <v>1083461</v>
      </c>
      <c r="G39" s="4">
        <v>1281444</v>
      </c>
      <c r="H39" s="4">
        <v>158427</v>
      </c>
      <c r="I39" s="4">
        <v>39555</v>
      </c>
      <c r="J39" s="4">
        <v>1083461</v>
      </c>
      <c r="K39" s="4">
        <v>1281444</v>
      </c>
      <c r="L39" s="4">
        <v>1281444</v>
      </c>
    </row>
    <row r="40" spans="1:12">
      <c r="B40" s="6">
        <v>37</v>
      </c>
      <c r="C40" s="21">
        <v>150000</v>
      </c>
      <c r="D40" s="7">
        <v>159653</v>
      </c>
      <c r="E40" s="7">
        <v>40647</v>
      </c>
      <c r="F40" s="7">
        <v>1164438</v>
      </c>
      <c r="G40" s="7">
        <v>1364738</v>
      </c>
      <c r="H40" s="7">
        <v>159653</v>
      </c>
      <c r="I40" s="7">
        <v>40647</v>
      </c>
      <c r="J40" s="7">
        <v>1164438</v>
      </c>
      <c r="K40" s="7">
        <v>1364738</v>
      </c>
      <c r="L40" s="7">
        <v>1364738</v>
      </c>
    </row>
    <row r="41" spans="1:12">
      <c r="B41" s="6">
        <v>38</v>
      </c>
      <c r="C41" s="21">
        <v>150000</v>
      </c>
      <c r="D41" s="7">
        <v>160879</v>
      </c>
      <c r="E41" s="7">
        <v>41766</v>
      </c>
      <c r="F41" s="7">
        <v>1250802</v>
      </c>
      <c r="G41" s="7">
        <v>1453446</v>
      </c>
      <c r="H41" s="7">
        <v>160879</v>
      </c>
      <c r="I41" s="7">
        <v>41766</v>
      </c>
      <c r="J41" s="7">
        <v>1250802</v>
      </c>
      <c r="K41" s="7">
        <v>1453446</v>
      </c>
      <c r="L41" s="7">
        <v>1453446</v>
      </c>
    </row>
    <row r="42" spans="1:12">
      <c r="B42" s="6">
        <v>39</v>
      </c>
      <c r="C42" s="21">
        <v>150000</v>
      </c>
      <c r="D42" s="7">
        <v>161492</v>
      </c>
      <c r="E42" s="7">
        <v>42911</v>
      </c>
      <c r="F42" s="7">
        <v>1343517</v>
      </c>
      <c r="G42" s="7">
        <v>1547920</v>
      </c>
      <c r="H42" s="7">
        <v>161492</v>
      </c>
      <c r="I42" s="7">
        <v>42911</v>
      </c>
      <c r="J42" s="7">
        <v>1343517</v>
      </c>
      <c r="K42" s="7">
        <v>1547920</v>
      </c>
      <c r="L42" s="7">
        <v>1547920</v>
      </c>
    </row>
    <row r="43" spans="1:12">
      <c r="B43" s="9">
        <v>40</v>
      </c>
      <c r="C43" s="22">
        <v>150000</v>
      </c>
      <c r="D43" s="10">
        <v>162963</v>
      </c>
      <c r="E43" s="10">
        <v>44483</v>
      </c>
      <c r="F43" s="10">
        <v>1441089</v>
      </c>
      <c r="G43" s="10">
        <v>1648535</v>
      </c>
      <c r="H43" s="10">
        <v>162963</v>
      </c>
      <c r="I43" s="10">
        <v>44483</v>
      </c>
      <c r="J43" s="10">
        <v>1441089</v>
      </c>
      <c r="K43" s="10">
        <v>1648535</v>
      </c>
      <c r="L43" s="10">
        <v>1648535</v>
      </c>
    </row>
    <row r="44" spans="1:12">
      <c r="B44" s="3">
        <v>41</v>
      </c>
      <c r="C44" s="20">
        <v>150000</v>
      </c>
      <c r="D44" s="4">
        <v>163361</v>
      </c>
      <c r="E44" s="4">
        <v>46063</v>
      </c>
      <c r="F44" s="4">
        <v>1546267</v>
      </c>
      <c r="G44" s="4">
        <v>1755690</v>
      </c>
      <c r="H44" s="4">
        <v>163361</v>
      </c>
      <c r="I44" s="4">
        <v>46063</v>
      </c>
      <c r="J44" s="4">
        <v>1546267</v>
      </c>
      <c r="K44" s="4">
        <v>1755690</v>
      </c>
      <c r="L44" s="4">
        <v>1755690</v>
      </c>
    </row>
    <row r="45" spans="1:12">
      <c r="B45" s="6">
        <v>42</v>
      </c>
      <c r="C45" s="21">
        <v>150000</v>
      </c>
      <c r="D45" s="7">
        <v>163759</v>
      </c>
      <c r="E45" s="7">
        <v>47649</v>
      </c>
      <c r="F45" s="7">
        <v>1658402</v>
      </c>
      <c r="G45" s="7">
        <v>1869810</v>
      </c>
      <c r="H45" s="7">
        <v>163759</v>
      </c>
      <c r="I45" s="7">
        <v>47649</v>
      </c>
      <c r="J45" s="7">
        <v>1658402</v>
      </c>
      <c r="K45" s="7">
        <v>1869810</v>
      </c>
      <c r="L45" s="7">
        <v>1869810</v>
      </c>
    </row>
    <row r="46" spans="1:12">
      <c r="B46" s="6">
        <v>43</v>
      </c>
      <c r="C46" s="21">
        <v>150000</v>
      </c>
      <c r="D46" s="7">
        <v>164158</v>
      </c>
      <c r="E46" s="7">
        <v>49242</v>
      </c>
      <c r="F46" s="7">
        <v>1777948</v>
      </c>
      <c r="G46" s="7">
        <v>1991348</v>
      </c>
      <c r="H46" s="7">
        <v>164158</v>
      </c>
      <c r="I46" s="7">
        <v>49242</v>
      </c>
      <c r="J46" s="7">
        <v>1777948</v>
      </c>
      <c r="K46" s="7">
        <v>1991348</v>
      </c>
      <c r="L46" s="7">
        <v>1991348</v>
      </c>
    </row>
    <row r="47" spans="1:12">
      <c r="B47" s="6">
        <v>44</v>
      </c>
      <c r="C47" s="21">
        <v>150000</v>
      </c>
      <c r="D47" s="7">
        <v>164556</v>
      </c>
      <c r="E47" s="7">
        <v>50843</v>
      </c>
      <c r="F47" s="7">
        <v>1905386</v>
      </c>
      <c r="G47" s="7">
        <v>2120785</v>
      </c>
      <c r="H47" s="7">
        <v>164556</v>
      </c>
      <c r="I47" s="7">
        <v>50843</v>
      </c>
      <c r="J47" s="7">
        <v>1905386</v>
      </c>
      <c r="K47" s="7">
        <v>2120785</v>
      </c>
      <c r="L47" s="7">
        <v>2120785</v>
      </c>
    </row>
    <row r="48" spans="1:12">
      <c r="B48" s="9">
        <v>45</v>
      </c>
      <c r="C48" s="22">
        <v>150000</v>
      </c>
      <c r="D48" s="10">
        <v>164954</v>
      </c>
      <c r="E48" s="10">
        <v>52451</v>
      </c>
      <c r="F48" s="10">
        <v>2041231</v>
      </c>
      <c r="G48" s="10">
        <v>2258636</v>
      </c>
      <c r="H48" s="10">
        <v>164954</v>
      </c>
      <c r="I48" s="10">
        <v>52451</v>
      </c>
      <c r="J48" s="10">
        <v>2041231</v>
      </c>
      <c r="K48" s="10">
        <v>2258636</v>
      </c>
      <c r="L48" s="10">
        <v>2258636</v>
      </c>
    </row>
    <row r="49" spans="2:12">
      <c r="B49" s="3">
        <v>46</v>
      </c>
      <c r="C49" s="20">
        <v>150000</v>
      </c>
      <c r="D49" s="4">
        <v>165353</v>
      </c>
      <c r="E49" s="4">
        <v>54065</v>
      </c>
      <c r="F49" s="20">
        <v>2186029</v>
      </c>
      <c r="G49" s="4">
        <v>2405448</v>
      </c>
      <c r="H49" s="4">
        <v>165353</v>
      </c>
      <c r="I49" s="4">
        <v>54065</v>
      </c>
      <c r="J49" s="4">
        <v>2186029</v>
      </c>
      <c r="K49" s="4">
        <v>2405448</v>
      </c>
      <c r="L49" s="4">
        <v>2405448</v>
      </c>
    </row>
    <row r="50" spans="2:12">
      <c r="B50" s="6">
        <v>47</v>
      </c>
      <c r="C50" s="21">
        <v>150000</v>
      </c>
      <c r="D50" s="7">
        <v>165751</v>
      </c>
      <c r="E50" s="7">
        <v>55688</v>
      </c>
      <c r="F50" s="21">
        <v>2340363</v>
      </c>
      <c r="G50" s="7">
        <v>2561802</v>
      </c>
      <c r="H50" s="7">
        <v>165751</v>
      </c>
      <c r="I50" s="7">
        <v>55688</v>
      </c>
      <c r="J50" s="7">
        <v>2340363</v>
      </c>
      <c r="K50" s="7">
        <v>2561802</v>
      </c>
      <c r="L50" s="7">
        <v>2561802</v>
      </c>
    </row>
    <row r="51" spans="2:12">
      <c r="B51" s="6">
        <v>48</v>
      </c>
      <c r="C51" s="21">
        <v>150000</v>
      </c>
      <c r="D51" s="7">
        <v>166395</v>
      </c>
      <c r="E51" s="7">
        <v>57317</v>
      </c>
      <c r="F51" s="21">
        <v>2504607</v>
      </c>
      <c r="G51" s="7">
        <v>2728319</v>
      </c>
      <c r="H51" s="7">
        <v>166395</v>
      </c>
      <c r="I51" s="7">
        <v>57317</v>
      </c>
      <c r="J51" s="7">
        <v>2504607</v>
      </c>
      <c r="K51" s="7">
        <v>2728319</v>
      </c>
      <c r="L51" s="7">
        <v>2728319</v>
      </c>
    </row>
    <row r="52" spans="2:12">
      <c r="B52" s="6">
        <v>49</v>
      </c>
      <c r="C52" s="21">
        <v>150000</v>
      </c>
      <c r="D52" s="7">
        <v>166854</v>
      </c>
      <c r="E52" s="7">
        <v>58954</v>
      </c>
      <c r="F52" s="21">
        <v>2679851</v>
      </c>
      <c r="G52" s="7">
        <v>2905660</v>
      </c>
      <c r="H52" s="7">
        <v>166854</v>
      </c>
      <c r="I52" s="7">
        <v>58954</v>
      </c>
      <c r="J52" s="7">
        <v>2679851</v>
      </c>
      <c r="K52" s="7">
        <v>2905660</v>
      </c>
      <c r="L52" s="7">
        <v>2905660</v>
      </c>
    </row>
    <row r="53" spans="2:12">
      <c r="B53" s="9">
        <v>50</v>
      </c>
      <c r="C53" s="22">
        <v>150000</v>
      </c>
      <c r="D53" s="10">
        <v>167314</v>
      </c>
      <c r="E53" s="10">
        <v>60598</v>
      </c>
      <c r="F53" s="22">
        <v>2866615</v>
      </c>
      <c r="G53" s="10">
        <v>3094528</v>
      </c>
      <c r="H53" s="10">
        <v>167314</v>
      </c>
      <c r="I53" s="10">
        <v>60598</v>
      </c>
      <c r="J53" s="10">
        <v>2866615</v>
      </c>
      <c r="K53" s="10">
        <v>3094528</v>
      </c>
      <c r="L53" s="10">
        <v>3094528</v>
      </c>
    </row>
    <row r="54" spans="2:12">
      <c r="B54" s="3">
        <v>51</v>
      </c>
      <c r="C54" s="20">
        <v>150000</v>
      </c>
      <c r="D54" s="4">
        <v>167774</v>
      </c>
      <c r="E54" s="4">
        <v>62250</v>
      </c>
      <c r="F54" s="20">
        <v>3065648</v>
      </c>
      <c r="G54" s="4">
        <v>3295672</v>
      </c>
      <c r="H54" s="4">
        <v>167774</v>
      </c>
      <c r="I54" s="4">
        <v>62250</v>
      </c>
      <c r="J54" s="4">
        <v>3065648</v>
      </c>
      <c r="K54" s="4">
        <v>3295672</v>
      </c>
      <c r="L54" s="4">
        <v>3295672</v>
      </c>
    </row>
    <row r="55" spans="2:12">
      <c r="B55" s="6">
        <v>52</v>
      </c>
      <c r="C55" s="21">
        <v>150000</v>
      </c>
      <c r="D55" s="7">
        <v>168233</v>
      </c>
      <c r="E55" s="7">
        <v>63909</v>
      </c>
      <c r="F55" s="21">
        <v>3277748</v>
      </c>
      <c r="G55" s="7">
        <v>3509891</v>
      </c>
      <c r="H55" s="7">
        <v>168233</v>
      </c>
      <c r="I55" s="7">
        <v>63909</v>
      </c>
      <c r="J55" s="7">
        <v>3277748</v>
      </c>
      <c r="K55" s="7">
        <v>3509891</v>
      </c>
      <c r="L55" s="7">
        <v>3509891</v>
      </c>
    </row>
    <row r="56" spans="2:12">
      <c r="B56" s="6">
        <v>53</v>
      </c>
      <c r="C56" s="21">
        <v>150000</v>
      </c>
      <c r="D56" s="7">
        <v>168693</v>
      </c>
      <c r="E56" s="7">
        <v>65576</v>
      </c>
      <c r="F56" s="21">
        <v>3503765</v>
      </c>
      <c r="G56" s="7">
        <v>3738034</v>
      </c>
      <c r="H56" s="7">
        <v>168693</v>
      </c>
      <c r="I56" s="7">
        <v>65576</v>
      </c>
      <c r="J56" s="7">
        <v>3503765</v>
      </c>
      <c r="K56" s="7">
        <v>3738034</v>
      </c>
      <c r="L56" s="7">
        <v>3738034</v>
      </c>
    </row>
    <row r="57" spans="2:12">
      <c r="B57" s="6">
        <v>54</v>
      </c>
      <c r="C57" s="21">
        <v>150000</v>
      </c>
      <c r="D57" s="7">
        <v>169459</v>
      </c>
      <c r="E57" s="7">
        <v>67250</v>
      </c>
      <c r="F57" s="21">
        <v>3744297</v>
      </c>
      <c r="G57" s="7">
        <v>3981006</v>
      </c>
      <c r="H57" s="7">
        <v>169459</v>
      </c>
      <c r="I57" s="7">
        <v>67250</v>
      </c>
      <c r="J57" s="7">
        <v>3744297</v>
      </c>
      <c r="K57" s="7">
        <v>3981006</v>
      </c>
      <c r="L57" s="7">
        <v>3981006</v>
      </c>
    </row>
    <row r="58" spans="2:12">
      <c r="B58" s="9">
        <v>55</v>
      </c>
      <c r="C58" s="22">
        <v>150000</v>
      </c>
      <c r="D58" s="10">
        <v>169919</v>
      </c>
      <c r="E58" s="10">
        <v>68931</v>
      </c>
      <c r="F58" s="22">
        <v>4000921</v>
      </c>
      <c r="G58" s="10">
        <v>4239771</v>
      </c>
      <c r="H58" s="10">
        <v>169919</v>
      </c>
      <c r="I58" s="10">
        <v>68931</v>
      </c>
      <c r="J58" s="10">
        <v>4000921</v>
      </c>
      <c r="K58" s="10">
        <v>4239771</v>
      </c>
      <c r="L58" s="10">
        <v>4239771</v>
      </c>
    </row>
    <row r="59" spans="2:12">
      <c r="B59" s="3">
        <v>56</v>
      </c>
      <c r="C59" s="20">
        <v>150000</v>
      </c>
      <c r="D59" s="4">
        <v>170378</v>
      </c>
      <c r="E59" s="4">
        <v>70621</v>
      </c>
      <c r="F59" s="20">
        <v>4274358</v>
      </c>
      <c r="G59" s="4">
        <v>4515357</v>
      </c>
      <c r="H59" s="4">
        <v>170378</v>
      </c>
      <c r="I59" s="4">
        <v>70621</v>
      </c>
      <c r="J59" s="4">
        <v>4274358</v>
      </c>
      <c r="K59" s="4">
        <v>4515357</v>
      </c>
      <c r="L59" s="4">
        <v>4515357</v>
      </c>
    </row>
    <row r="60" spans="2:12">
      <c r="B60" s="6">
        <v>57</v>
      </c>
      <c r="C60" s="21">
        <v>150000</v>
      </c>
      <c r="D60" s="7">
        <v>170838</v>
      </c>
      <c r="E60" s="7">
        <v>72317</v>
      </c>
      <c r="F60" s="21">
        <v>4565699</v>
      </c>
      <c r="G60" s="7">
        <v>4808855</v>
      </c>
      <c r="H60" s="7">
        <v>170838</v>
      </c>
      <c r="I60" s="7">
        <v>72317</v>
      </c>
      <c r="J60" s="7">
        <v>4565699</v>
      </c>
      <c r="K60" s="7">
        <v>4808855</v>
      </c>
      <c r="L60" s="7">
        <v>4808855</v>
      </c>
    </row>
    <row r="61" spans="2:12">
      <c r="B61" s="6">
        <v>58</v>
      </c>
      <c r="C61" s="21">
        <v>150000</v>
      </c>
      <c r="D61" s="7">
        <v>171298</v>
      </c>
      <c r="E61" s="7">
        <v>74022</v>
      </c>
      <c r="F61" s="21">
        <v>4876111</v>
      </c>
      <c r="G61" s="7">
        <v>5121430</v>
      </c>
      <c r="H61" s="7">
        <v>171298</v>
      </c>
      <c r="I61" s="7">
        <v>74022</v>
      </c>
      <c r="J61" s="7">
        <v>4876111</v>
      </c>
      <c r="K61" s="7">
        <v>5121430</v>
      </c>
      <c r="L61" s="7">
        <v>5121430</v>
      </c>
    </row>
    <row r="62" spans="2:12">
      <c r="B62" s="6">
        <v>59</v>
      </c>
      <c r="C62" s="21">
        <v>150000</v>
      </c>
      <c r="D62" s="7">
        <v>171757</v>
      </c>
      <c r="E62" s="7">
        <v>75734</v>
      </c>
      <c r="F62" s="21">
        <v>5206832</v>
      </c>
      <c r="G62" s="7">
        <v>5454323</v>
      </c>
      <c r="H62" s="7">
        <v>171757</v>
      </c>
      <c r="I62" s="7">
        <v>75734</v>
      </c>
      <c r="J62" s="7">
        <v>5206832</v>
      </c>
      <c r="K62" s="7">
        <v>5454323</v>
      </c>
      <c r="L62" s="7">
        <v>5454323</v>
      </c>
    </row>
    <row r="63" spans="2:12">
      <c r="B63" s="9">
        <v>60</v>
      </c>
      <c r="C63" s="22">
        <v>150000</v>
      </c>
      <c r="D63" s="10">
        <v>172217</v>
      </c>
      <c r="E63" s="10">
        <v>77454</v>
      </c>
      <c r="F63" s="22">
        <v>5559183</v>
      </c>
      <c r="G63" s="10">
        <v>5808854</v>
      </c>
      <c r="H63" s="10">
        <v>172217</v>
      </c>
      <c r="I63" s="10">
        <v>77454</v>
      </c>
      <c r="J63" s="10">
        <v>5559183</v>
      </c>
      <c r="K63" s="10">
        <v>5808854</v>
      </c>
      <c r="L63" s="10">
        <v>5808854</v>
      </c>
    </row>
    <row r="64" spans="2:12">
      <c r="B64" s="3">
        <v>61</v>
      </c>
      <c r="C64" s="20">
        <v>150000</v>
      </c>
      <c r="D64" s="4">
        <v>172677</v>
      </c>
      <c r="E64" s="4">
        <v>79181</v>
      </c>
      <c r="F64" s="20">
        <v>5934573</v>
      </c>
      <c r="G64" s="4">
        <v>6186430</v>
      </c>
      <c r="H64" s="4">
        <v>172677</v>
      </c>
      <c r="I64" s="4">
        <v>79181</v>
      </c>
      <c r="J64" s="4">
        <v>5934573</v>
      </c>
      <c r="K64" s="4">
        <v>6186430</v>
      </c>
      <c r="L64" s="4">
        <v>6186430</v>
      </c>
    </row>
    <row r="65" spans="2:12">
      <c r="B65" s="6">
        <v>62</v>
      </c>
      <c r="C65" s="21">
        <v>150000</v>
      </c>
      <c r="D65" s="7">
        <v>173136</v>
      </c>
      <c r="E65" s="7">
        <v>80916</v>
      </c>
      <c r="F65" s="21">
        <v>6334496</v>
      </c>
      <c r="G65" s="7">
        <v>6588548</v>
      </c>
      <c r="H65" s="7">
        <v>173136</v>
      </c>
      <c r="I65" s="7">
        <v>80916</v>
      </c>
      <c r="J65" s="7">
        <v>6334496</v>
      </c>
      <c r="K65" s="7">
        <v>6588548</v>
      </c>
      <c r="L65" s="7">
        <v>6588548</v>
      </c>
    </row>
    <row r="66" spans="2:12">
      <c r="B66" s="6">
        <v>63</v>
      </c>
      <c r="C66" s="21">
        <v>150000</v>
      </c>
      <c r="D66" s="7">
        <v>173749</v>
      </c>
      <c r="E66" s="7">
        <v>82659</v>
      </c>
      <c r="F66" s="21">
        <v>6760395</v>
      </c>
      <c r="G66" s="7">
        <v>7016804</v>
      </c>
      <c r="H66" s="7">
        <v>173749</v>
      </c>
      <c r="I66" s="7">
        <v>82659</v>
      </c>
      <c r="J66" s="7">
        <v>6760395</v>
      </c>
      <c r="K66" s="7">
        <v>7016804</v>
      </c>
      <c r="L66" s="7">
        <v>7016804</v>
      </c>
    </row>
    <row r="67" spans="2:12">
      <c r="B67" s="6">
        <v>64</v>
      </c>
      <c r="C67" s="21">
        <v>150000</v>
      </c>
      <c r="D67" s="7">
        <v>174362</v>
      </c>
      <c r="E67" s="7">
        <v>84410</v>
      </c>
      <c r="F67" s="21">
        <v>7214123</v>
      </c>
      <c r="G67" s="7">
        <v>7472896</v>
      </c>
      <c r="H67" s="7">
        <v>174362</v>
      </c>
      <c r="I67" s="7">
        <v>84410</v>
      </c>
      <c r="J67" s="7">
        <v>7214123</v>
      </c>
      <c r="K67" s="7">
        <v>7472896</v>
      </c>
      <c r="L67" s="7">
        <v>7472896</v>
      </c>
    </row>
    <row r="68" spans="2:12">
      <c r="B68" s="9">
        <v>65</v>
      </c>
      <c r="C68" s="22">
        <v>150000</v>
      </c>
      <c r="D68" s="10">
        <v>174975</v>
      </c>
      <c r="E68" s="10">
        <v>86169</v>
      </c>
      <c r="F68" s="22">
        <v>7697490</v>
      </c>
      <c r="G68" s="10">
        <v>7958634</v>
      </c>
      <c r="H68" s="10">
        <v>174975</v>
      </c>
      <c r="I68" s="10">
        <v>86169</v>
      </c>
      <c r="J68" s="10">
        <v>7697490</v>
      </c>
      <c r="K68" s="10">
        <v>7958634</v>
      </c>
      <c r="L68" s="10">
        <v>7958634</v>
      </c>
    </row>
    <row r="69" spans="2:12">
      <c r="B69" s="3">
        <v>66</v>
      </c>
      <c r="C69" s="20">
        <v>150000</v>
      </c>
      <c r="D69" s="4">
        <v>175588</v>
      </c>
      <c r="E69" s="4">
        <v>87936</v>
      </c>
      <c r="F69" s="20">
        <v>8212422</v>
      </c>
      <c r="G69" s="4">
        <v>8475945</v>
      </c>
      <c r="H69" s="4">
        <v>175588</v>
      </c>
      <c r="I69" s="4">
        <v>87936</v>
      </c>
      <c r="J69" s="4">
        <v>8212422</v>
      </c>
      <c r="K69" s="4">
        <v>8475945</v>
      </c>
      <c r="L69" s="4">
        <v>8475945</v>
      </c>
    </row>
    <row r="70" spans="2:12">
      <c r="B70" s="6">
        <v>67</v>
      </c>
      <c r="C70" s="21">
        <v>150000</v>
      </c>
      <c r="D70" s="7">
        <v>176201</v>
      </c>
      <c r="E70" s="7">
        <v>89711</v>
      </c>
      <c r="F70" s="21">
        <v>8760971</v>
      </c>
      <c r="G70" s="7">
        <v>9026882</v>
      </c>
      <c r="H70" s="7">
        <v>176201</v>
      </c>
      <c r="I70" s="7">
        <v>89711</v>
      </c>
      <c r="J70" s="7">
        <v>8760971</v>
      </c>
      <c r="K70" s="7">
        <v>9026882</v>
      </c>
      <c r="L70" s="7">
        <v>9026882</v>
      </c>
    </row>
    <row r="71" spans="2:12">
      <c r="B71" s="6">
        <v>68</v>
      </c>
      <c r="C71" s="21">
        <v>150000</v>
      </c>
      <c r="D71" s="7">
        <v>177120</v>
      </c>
      <c r="E71" s="7">
        <v>91493</v>
      </c>
      <c r="F71" s="21">
        <v>9345016</v>
      </c>
      <c r="G71" s="7">
        <v>9613629</v>
      </c>
      <c r="H71" s="7">
        <v>177120</v>
      </c>
      <c r="I71" s="7">
        <v>91493</v>
      </c>
      <c r="J71" s="7">
        <v>9345016</v>
      </c>
      <c r="K71" s="7">
        <v>9613629</v>
      </c>
      <c r="L71" s="7">
        <v>9613629</v>
      </c>
    </row>
    <row r="72" spans="2:12">
      <c r="B72" s="6">
        <v>69</v>
      </c>
      <c r="C72" s="21">
        <v>150000</v>
      </c>
      <c r="D72" s="7">
        <v>177610</v>
      </c>
      <c r="E72" s="7">
        <v>93284</v>
      </c>
      <c r="F72" s="21">
        <v>9967620</v>
      </c>
      <c r="G72" s="7">
        <v>10238515</v>
      </c>
      <c r="H72" s="7">
        <v>177610</v>
      </c>
      <c r="I72" s="7">
        <v>93284</v>
      </c>
      <c r="J72" s="7">
        <v>9967620</v>
      </c>
      <c r="K72" s="7">
        <v>10238515</v>
      </c>
      <c r="L72" s="7">
        <v>10238515</v>
      </c>
    </row>
    <row r="73" spans="2:12">
      <c r="B73" s="9">
        <v>70</v>
      </c>
      <c r="C73" s="22">
        <v>150000</v>
      </c>
      <c r="D73" s="10">
        <v>178346</v>
      </c>
      <c r="E73" s="10">
        <v>95083</v>
      </c>
      <c r="F73" s="22">
        <v>10630591</v>
      </c>
      <c r="G73" s="10">
        <v>10904019</v>
      </c>
      <c r="H73" s="10">
        <v>178346</v>
      </c>
      <c r="I73" s="10">
        <v>95083</v>
      </c>
      <c r="J73" s="10">
        <v>10630591</v>
      </c>
      <c r="K73" s="10">
        <v>10904019</v>
      </c>
      <c r="L73" s="10">
        <v>10904019</v>
      </c>
    </row>
    <row r="74" spans="2:12">
      <c r="B74" s="3">
        <v>71</v>
      </c>
      <c r="C74" s="20">
        <v>150000</v>
      </c>
      <c r="D74" s="4">
        <v>179265</v>
      </c>
      <c r="E74" s="4">
        <v>96889</v>
      </c>
      <c r="F74" s="20">
        <v>11336626</v>
      </c>
      <c r="G74" s="4">
        <v>11612780</v>
      </c>
      <c r="H74" s="4">
        <v>179265</v>
      </c>
      <c r="I74" s="4">
        <v>96889</v>
      </c>
      <c r="J74" s="4">
        <v>11336626</v>
      </c>
      <c r="K74" s="4">
        <v>11612780</v>
      </c>
      <c r="L74" s="4">
        <v>11612780</v>
      </c>
    </row>
    <row r="75" spans="2:12">
      <c r="B75" s="6">
        <v>72</v>
      </c>
      <c r="C75" s="21">
        <v>150000</v>
      </c>
      <c r="D75" s="7">
        <v>179878</v>
      </c>
      <c r="E75" s="7">
        <v>98704</v>
      </c>
      <c r="F75" s="21">
        <v>12089029</v>
      </c>
      <c r="G75" s="7">
        <v>12367611</v>
      </c>
      <c r="H75" s="7">
        <v>179878</v>
      </c>
      <c r="I75" s="7">
        <v>98704</v>
      </c>
      <c r="J75" s="7">
        <v>12089029</v>
      </c>
      <c r="K75" s="7">
        <v>12367611</v>
      </c>
      <c r="L75" s="7">
        <v>12367611</v>
      </c>
    </row>
    <row r="76" spans="2:12">
      <c r="B76" s="6">
        <v>73</v>
      </c>
      <c r="C76" s="21">
        <v>150000</v>
      </c>
      <c r="D76" s="7">
        <v>180797</v>
      </c>
      <c r="E76" s="7">
        <v>100528</v>
      </c>
      <c r="F76" s="21">
        <v>12890180</v>
      </c>
      <c r="G76" s="7">
        <v>13171505</v>
      </c>
      <c r="H76" s="7">
        <v>180797</v>
      </c>
      <c r="I76" s="7">
        <v>100528</v>
      </c>
      <c r="J76" s="7">
        <v>12890180</v>
      </c>
      <c r="K76" s="7">
        <v>13171505</v>
      </c>
      <c r="L76" s="7">
        <v>13171505</v>
      </c>
    </row>
    <row r="77" spans="2:12">
      <c r="B77" s="6">
        <v>74</v>
      </c>
      <c r="C77" s="21">
        <v>150000</v>
      </c>
      <c r="D77" s="7">
        <v>181410</v>
      </c>
      <c r="E77" s="7">
        <v>102359</v>
      </c>
      <c r="F77" s="21">
        <v>13743884</v>
      </c>
      <c r="G77" s="7">
        <v>14027653</v>
      </c>
      <c r="H77" s="7">
        <v>181410</v>
      </c>
      <c r="I77" s="7">
        <v>102359</v>
      </c>
      <c r="J77" s="7">
        <v>13743884</v>
      </c>
      <c r="K77" s="7">
        <v>14027653</v>
      </c>
      <c r="L77" s="7">
        <v>14027653</v>
      </c>
    </row>
    <row r="78" spans="2:12">
      <c r="B78" s="9">
        <v>75</v>
      </c>
      <c r="C78" s="22">
        <v>150000</v>
      </c>
      <c r="D78" s="10">
        <v>182023</v>
      </c>
      <c r="E78" s="10">
        <v>104198</v>
      </c>
      <c r="F78" s="22">
        <v>14653230</v>
      </c>
      <c r="G78" s="10">
        <v>14939451</v>
      </c>
      <c r="H78" s="10">
        <v>182023</v>
      </c>
      <c r="I78" s="10">
        <v>104198</v>
      </c>
      <c r="J78" s="10">
        <v>14653230</v>
      </c>
      <c r="K78" s="10">
        <v>14939451</v>
      </c>
      <c r="L78" s="10">
        <v>14939451</v>
      </c>
    </row>
    <row r="79" spans="2:12">
      <c r="B79" s="3">
        <v>76</v>
      </c>
      <c r="C79" s="20">
        <v>150000</v>
      </c>
      <c r="D79" s="4">
        <v>182636</v>
      </c>
      <c r="E79" s="4">
        <v>106046</v>
      </c>
      <c r="F79" s="20">
        <v>15621833</v>
      </c>
      <c r="G79" s="4">
        <v>15910515</v>
      </c>
      <c r="H79" s="4">
        <v>182636</v>
      </c>
      <c r="I79" s="4">
        <v>106046</v>
      </c>
      <c r="J79" s="4">
        <v>15621833</v>
      </c>
      <c r="K79" s="4">
        <v>15910515</v>
      </c>
      <c r="L79" s="4">
        <v>15910515</v>
      </c>
    </row>
    <row r="80" spans="2:12">
      <c r="B80" s="6">
        <v>77</v>
      </c>
      <c r="C80" s="21">
        <v>150000</v>
      </c>
      <c r="D80" s="7">
        <v>183555</v>
      </c>
      <c r="E80" s="7">
        <v>107902</v>
      </c>
      <c r="F80" s="21">
        <v>16653241</v>
      </c>
      <c r="G80" s="7">
        <v>16944699</v>
      </c>
      <c r="H80" s="7">
        <v>183555</v>
      </c>
      <c r="I80" s="7">
        <v>107902</v>
      </c>
      <c r="J80" s="7">
        <v>16653241</v>
      </c>
      <c r="K80" s="7">
        <v>16944699</v>
      </c>
      <c r="L80" s="7">
        <v>16944699</v>
      </c>
    </row>
    <row r="81" spans="2:12">
      <c r="B81" s="6">
        <v>78</v>
      </c>
      <c r="C81" s="21">
        <v>150000</v>
      </c>
      <c r="D81" s="7">
        <v>184474</v>
      </c>
      <c r="E81" s="7">
        <v>109767</v>
      </c>
      <c r="F81" s="21">
        <v>17751862</v>
      </c>
      <c r="G81" s="7">
        <v>18046104</v>
      </c>
      <c r="H81" s="7">
        <v>184474</v>
      </c>
      <c r="I81" s="7">
        <v>109767</v>
      </c>
      <c r="J81" s="7">
        <v>17751862</v>
      </c>
      <c r="K81" s="7">
        <v>18046104</v>
      </c>
      <c r="L81" s="7">
        <v>18046104</v>
      </c>
    </row>
    <row r="82" spans="2:12">
      <c r="B82" s="6">
        <v>79</v>
      </c>
      <c r="C82" s="21">
        <v>150000</v>
      </c>
      <c r="D82" s="7">
        <v>185087</v>
      </c>
      <c r="E82" s="7">
        <v>111640</v>
      </c>
      <c r="F82" s="21">
        <v>18922374</v>
      </c>
      <c r="G82" s="7">
        <v>19219101</v>
      </c>
      <c r="H82" s="7">
        <v>185087</v>
      </c>
      <c r="I82" s="7">
        <v>111640</v>
      </c>
      <c r="J82" s="7">
        <v>18922374</v>
      </c>
      <c r="K82" s="7">
        <v>19219101</v>
      </c>
      <c r="L82" s="7">
        <v>19219101</v>
      </c>
    </row>
    <row r="83" spans="2:12">
      <c r="B83" s="9">
        <v>80</v>
      </c>
      <c r="C83" s="22">
        <v>150000</v>
      </c>
      <c r="D83" s="10">
        <v>186007</v>
      </c>
      <c r="E83" s="10">
        <v>113521</v>
      </c>
      <c r="F83" s="22">
        <v>20168815</v>
      </c>
      <c r="G83" s="10">
        <v>20468342</v>
      </c>
      <c r="H83" s="10">
        <v>186007</v>
      </c>
      <c r="I83" s="10">
        <v>113521</v>
      </c>
      <c r="J83" s="10">
        <v>20168815</v>
      </c>
      <c r="K83" s="10">
        <v>20468342</v>
      </c>
      <c r="L83" s="10">
        <v>20468342</v>
      </c>
    </row>
    <row r="84" spans="2:12">
      <c r="B84" s="3">
        <v>81</v>
      </c>
      <c r="C84" s="20">
        <v>150000</v>
      </c>
      <c r="D84" s="4">
        <v>186926</v>
      </c>
      <c r="E84" s="4">
        <v>115411</v>
      </c>
      <c r="F84" s="20">
        <v>21496448</v>
      </c>
      <c r="G84" s="4">
        <v>21798785</v>
      </c>
      <c r="H84" s="4">
        <v>186926</v>
      </c>
      <c r="I84" s="4">
        <v>115411</v>
      </c>
      <c r="J84" s="4">
        <v>21496448</v>
      </c>
      <c r="K84" s="4">
        <v>21798785</v>
      </c>
      <c r="L84" s="4">
        <v>21798785</v>
      </c>
    </row>
    <row r="85" spans="2:12">
      <c r="B85" s="6">
        <v>82</v>
      </c>
      <c r="C85" s="21">
        <v>150000</v>
      </c>
      <c r="D85" s="7">
        <v>187539</v>
      </c>
      <c r="E85" s="7">
        <v>117309</v>
      </c>
      <c r="F85" s="21">
        <v>22910858</v>
      </c>
      <c r="G85" s="7">
        <v>23215706</v>
      </c>
      <c r="H85" s="7">
        <v>187539</v>
      </c>
      <c r="I85" s="7">
        <v>117309</v>
      </c>
      <c r="J85" s="7">
        <v>22910858</v>
      </c>
      <c r="K85" s="7">
        <v>23215706</v>
      </c>
      <c r="L85" s="7">
        <v>23215706</v>
      </c>
    </row>
    <row r="86" spans="2:12">
      <c r="B86" s="6">
        <v>83</v>
      </c>
      <c r="C86" s="21">
        <v>150000</v>
      </c>
      <c r="D86" s="7">
        <v>188458</v>
      </c>
      <c r="E86" s="7">
        <v>119216</v>
      </c>
      <c r="F86" s="21">
        <v>24417052</v>
      </c>
      <c r="G86" s="7">
        <v>24724727</v>
      </c>
      <c r="H86" s="7">
        <v>188458</v>
      </c>
      <c r="I86" s="7">
        <v>119216</v>
      </c>
      <c r="J86" s="7">
        <v>24417052</v>
      </c>
      <c r="K86" s="7">
        <v>24724727</v>
      </c>
      <c r="L86" s="7">
        <v>24724727</v>
      </c>
    </row>
    <row r="87" spans="2:12">
      <c r="B87" s="6">
        <v>84</v>
      </c>
      <c r="C87" s="21">
        <v>150000</v>
      </c>
      <c r="D87" s="7">
        <v>189377</v>
      </c>
      <c r="E87" s="7">
        <v>121132</v>
      </c>
      <c r="F87" s="21">
        <v>26021325</v>
      </c>
      <c r="G87" s="7">
        <v>26331834</v>
      </c>
      <c r="H87" s="7">
        <v>189377</v>
      </c>
      <c r="I87" s="7">
        <v>121132</v>
      </c>
      <c r="J87" s="7">
        <v>26021325</v>
      </c>
      <c r="K87" s="7">
        <v>26331834</v>
      </c>
      <c r="L87" s="7">
        <v>26331834</v>
      </c>
    </row>
    <row r="88" spans="2:12">
      <c r="B88" s="9">
        <v>85</v>
      </c>
      <c r="C88" s="22">
        <v>150000</v>
      </c>
      <c r="D88" s="10">
        <v>189990</v>
      </c>
      <c r="E88" s="10">
        <v>123056</v>
      </c>
      <c r="F88" s="22">
        <v>27730357</v>
      </c>
      <c r="G88" s="10">
        <v>28043403</v>
      </c>
      <c r="H88" s="10">
        <v>189990</v>
      </c>
      <c r="I88" s="10">
        <v>123056</v>
      </c>
      <c r="J88" s="10">
        <v>27730357</v>
      </c>
      <c r="K88" s="10">
        <v>28043403</v>
      </c>
      <c r="L88" s="10">
        <v>28043403</v>
      </c>
    </row>
    <row r="89" spans="2:12">
      <c r="B89" s="3">
        <v>86</v>
      </c>
      <c r="C89" s="20">
        <v>150000</v>
      </c>
      <c r="D89" s="4">
        <v>190910</v>
      </c>
      <c r="E89" s="4">
        <v>124988</v>
      </c>
      <c r="F89" s="20">
        <v>29550326</v>
      </c>
      <c r="G89" s="4">
        <v>29866224</v>
      </c>
      <c r="H89" s="4">
        <v>190910</v>
      </c>
      <c r="I89" s="4">
        <v>124988</v>
      </c>
      <c r="J89" s="4">
        <v>29550326</v>
      </c>
      <c r="K89" s="4">
        <v>29866224</v>
      </c>
      <c r="L89" s="4">
        <v>29866224</v>
      </c>
    </row>
    <row r="90" spans="2:12">
      <c r="B90" s="6">
        <v>87</v>
      </c>
      <c r="C90" s="21">
        <v>150000</v>
      </c>
      <c r="D90" s="7">
        <v>191829</v>
      </c>
      <c r="E90" s="7">
        <v>126930</v>
      </c>
      <c r="F90" s="21">
        <v>31488770</v>
      </c>
      <c r="G90" s="7">
        <v>31807529</v>
      </c>
      <c r="H90" s="7">
        <v>191829</v>
      </c>
      <c r="I90" s="7">
        <v>126930</v>
      </c>
      <c r="J90" s="7">
        <v>31488770</v>
      </c>
      <c r="K90" s="7">
        <v>31807529</v>
      </c>
      <c r="L90" s="7">
        <v>31807529</v>
      </c>
    </row>
    <row r="91" spans="2:12">
      <c r="B91" s="6">
        <v>88</v>
      </c>
      <c r="C91" s="21">
        <v>150000</v>
      </c>
      <c r="D91" s="7">
        <v>192442</v>
      </c>
      <c r="E91" s="7">
        <v>128880</v>
      </c>
      <c r="F91" s="21">
        <v>33553696</v>
      </c>
      <c r="G91" s="7">
        <v>33875018</v>
      </c>
      <c r="H91" s="7">
        <v>192442</v>
      </c>
      <c r="I91" s="7">
        <v>128880</v>
      </c>
      <c r="J91" s="7">
        <v>33553696</v>
      </c>
      <c r="K91" s="7">
        <v>33875018</v>
      </c>
      <c r="L91" s="7">
        <v>33875018</v>
      </c>
    </row>
    <row r="92" spans="2:12">
      <c r="B92" s="6">
        <v>89</v>
      </c>
      <c r="C92" s="21">
        <v>150000</v>
      </c>
      <c r="D92" s="7">
        <v>193361</v>
      </c>
      <c r="E92" s="7">
        <v>130839</v>
      </c>
      <c r="F92" s="21">
        <v>35752694</v>
      </c>
      <c r="G92" s="7">
        <v>36076894</v>
      </c>
      <c r="H92" s="7">
        <v>193361</v>
      </c>
      <c r="I92" s="7">
        <v>130839</v>
      </c>
      <c r="J92" s="7">
        <v>35752694</v>
      </c>
      <c r="K92" s="7">
        <v>36076894</v>
      </c>
      <c r="L92" s="7">
        <v>36076894</v>
      </c>
    </row>
    <row r="93" spans="2:12">
      <c r="B93" s="9">
        <v>90</v>
      </c>
      <c r="C93" s="22">
        <v>150000</v>
      </c>
      <c r="D93" s="10">
        <v>193974</v>
      </c>
      <c r="E93" s="10">
        <v>132807</v>
      </c>
      <c r="F93" s="22">
        <v>38095112</v>
      </c>
      <c r="G93" s="10">
        <v>38421893</v>
      </c>
      <c r="H93" s="10">
        <v>193974</v>
      </c>
      <c r="I93" s="10">
        <v>132807</v>
      </c>
      <c r="J93" s="10">
        <v>38095112</v>
      </c>
      <c r="K93" s="10">
        <v>38421893</v>
      </c>
      <c r="L93" s="10">
        <v>38421893</v>
      </c>
    </row>
  </sheetData>
  <mergeCells count="11">
    <mergeCell ref="A1:A3"/>
    <mergeCell ref="L2:L3"/>
    <mergeCell ref="B1:B3"/>
    <mergeCell ref="C1:C3"/>
    <mergeCell ref="D1:G1"/>
    <mergeCell ref="H1:L1"/>
    <mergeCell ref="E2:F2"/>
    <mergeCell ref="G2:G3"/>
    <mergeCell ref="H2:H3"/>
    <mergeCell ref="I2:J2"/>
    <mergeCell ref="K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6EDF5-76E2-0D43-9851-AF99300FC4DC}">
  <dimension ref="A1:T95"/>
  <sheetViews>
    <sheetView topLeftCell="F1" workbookViewId="0">
      <selection activeCell="L3" sqref="L3:Q95"/>
    </sheetView>
  </sheetViews>
  <sheetFormatPr baseColWidth="10" defaultRowHeight="16"/>
  <sheetData>
    <row r="1" spans="1:20">
      <c r="A1" s="37" t="s">
        <v>6</v>
      </c>
      <c r="B1" s="37" t="s">
        <v>7</v>
      </c>
      <c r="C1" s="38" t="s">
        <v>8</v>
      </c>
      <c r="D1" s="40" t="s">
        <v>22</v>
      </c>
      <c r="E1" s="42" t="s">
        <v>23</v>
      </c>
      <c r="F1" s="28" t="s">
        <v>24</v>
      </c>
      <c r="G1" s="29"/>
      <c r="H1" s="29"/>
      <c r="I1" s="30"/>
    </row>
    <row r="2" spans="1:20">
      <c r="A2" s="35"/>
      <c r="B2" s="35"/>
      <c r="C2" s="39"/>
      <c r="D2" s="41"/>
      <c r="E2" s="43"/>
      <c r="F2" s="1" t="s">
        <v>25</v>
      </c>
      <c r="G2" s="31" t="s">
        <v>12</v>
      </c>
      <c r="H2" s="32"/>
      <c r="I2" s="33" t="s">
        <v>13</v>
      </c>
    </row>
    <row r="3" spans="1:20" ht="30">
      <c r="A3" s="36"/>
      <c r="B3" s="36"/>
      <c r="C3" s="45"/>
      <c r="D3" s="46"/>
      <c r="E3" s="47"/>
      <c r="F3" s="2" t="s">
        <v>17</v>
      </c>
      <c r="G3" s="2" t="s">
        <v>18</v>
      </c>
      <c r="H3" s="2" t="s">
        <v>19</v>
      </c>
      <c r="I3" s="44"/>
      <c r="L3" s="13" t="s">
        <v>5</v>
      </c>
      <c r="M3" s="13" t="s">
        <v>0</v>
      </c>
      <c r="N3" s="13" t="s">
        <v>1</v>
      </c>
      <c r="O3" s="13" t="s">
        <v>26</v>
      </c>
      <c r="P3" s="13" t="s">
        <v>2</v>
      </c>
      <c r="Q3" s="13" t="s">
        <v>3</v>
      </c>
      <c r="T3" t="s">
        <v>27</v>
      </c>
    </row>
    <row r="4" spans="1:20">
      <c r="A4" s="18"/>
      <c r="B4" s="18"/>
      <c r="C4" s="23"/>
      <c r="D4" s="24"/>
      <c r="E4" s="25"/>
      <c r="F4" s="12"/>
      <c r="G4" s="12"/>
      <c r="H4" s="12"/>
      <c r="I4" s="26"/>
      <c r="L4" s="13">
        <v>0</v>
      </c>
      <c r="M4" s="14">
        <f>-C5</f>
        <v>-30000</v>
      </c>
      <c r="N4" s="13"/>
      <c r="O4" s="13"/>
      <c r="P4" s="13"/>
      <c r="Q4" s="14">
        <f>M4+N4+P4+O4</f>
        <v>-30000</v>
      </c>
      <c r="T4" s="27">
        <v>0.12</v>
      </c>
    </row>
    <row r="5" spans="1:20">
      <c r="A5" s="6">
        <f>不提取累积情况!A4</f>
        <v>68</v>
      </c>
      <c r="B5" s="3">
        <v>1</v>
      </c>
      <c r="C5" s="4">
        <v>30000</v>
      </c>
      <c r="D5" s="5">
        <v>0</v>
      </c>
      <c r="E5" s="4">
        <v>306436</v>
      </c>
      <c r="F5" s="5">
        <v>31</v>
      </c>
      <c r="G5" s="5">
        <v>0</v>
      </c>
      <c r="H5" s="5">
        <v>0</v>
      </c>
      <c r="I5" s="5">
        <v>31</v>
      </c>
      <c r="L5" s="15">
        <f>B5</f>
        <v>1</v>
      </c>
      <c r="M5" s="14">
        <f>M4</f>
        <v>-30000</v>
      </c>
      <c r="N5" s="13"/>
      <c r="O5" s="13">
        <f>C5*T4</f>
        <v>3600</v>
      </c>
      <c r="P5" s="13"/>
      <c r="Q5" s="14">
        <f t="shared" ref="Q5:Q61" si="0">M5+N5+P5+O5</f>
        <v>-26400</v>
      </c>
    </row>
    <row r="6" spans="1:20">
      <c r="A6" s="6">
        <f>不提取累积情况!A5</f>
        <v>69</v>
      </c>
      <c r="B6" s="6">
        <v>2</v>
      </c>
      <c r="C6" s="7">
        <v>60000</v>
      </c>
      <c r="D6" s="8">
        <v>0</v>
      </c>
      <c r="E6" s="7">
        <v>306436</v>
      </c>
      <c r="F6" s="8">
        <v>31</v>
      </c>
      <c r="G6" s="8">
        <v>0</v>
      </c>
      <c r="H6" s="8">
        <v>0</v>
      </c>
      <c r="I6" s="8">
        <v>31</v>
      </c>
      <c r="L6" s="15">
        <f>B6</f>
        <v>2</v>
      </c>
      <c r="M6" s="14">
        <f t="shared" ref="M6:M8" si="1">M5</f>
        <v>-30000</v>
      </c>
      <c r="N6" s="13"/>
      <c r="O6" s="13"/>
      <c r="P6" s="13"/>
      <c r="Q6" s="14">
        <f t="shared" si="0"/>
        <v>-30000</v>
      </c>
    </row>
    <row r="7" spans="1:20">
      <c r="A7" s="6">
        <f>不提取累积情况!A6</f>
        <v>70</v>
      </c>
      <c r="B7" s="6">
        <v>3</v>
      </c>
      <c r="C7" s="7">
        <v>90000</v>
      </c>
      <c r="D7" s="8">
        <v>0</v>
      </c>
      <c r="E7" s="7">
        <v>306436</v>
      </c>
      <c r="F7" s="7">
        <v>7967</v>
      </c>
      <c r="G7" s="7">
        <v>2482</v>
      </c>
      <c r="H7" s="7">
        <v>4634</v>
      </c>
      <c r="I7" s="7">
        <v>15083</v>
      </c>
      <c r="L7" s="15">
        <f t="shared" ref="L7:L61" si="2">B7</f>
        <v>3</v>
      </c>
      <c r="M7" s="14">
        <f t="shared" si="1"/>
        <v>-30000</v>
      </c>
      <c r="N7" s="13"/>
      <c r="O7" s="13"/>
      <c r="P7" s="13"/>
      <c r="Q7" s="14">
        <f t="shared" si="0"/>
        <v>-30000</v>
      </c>
    </row>
    <row r="8" spans="1:20">
      <c r="A8" s="6">
        <f>不提取累积情况!A7</f>
        <v>71</v>
      </c>
      <c r="B8" s="6">
        <v>4</v>
      </c>
      <c r="C8" s="7">
        <v>120000</v>
      </c>
      <c r="D8" s="8">
        <v>0</v>
      </c>
      <c r="E8" s="7">
        <v>306436</v>
      </c>
      <c r="F8" s="7">
        <v>22370</v>
      </c>
      <c r="G8" s="7">
        <v>5001</v>
      </c>
      <c r="H8" s="7">
        <v>10277</v>
      </c>
      <c r="I8" s="7">
        <v>37649</v>
      </c>
      <c r="L8" s="15">
        <f t="shared" si="2"/>
        <v>4</v>
      </c>
      <c r="M8" s="14">
        <f t="shared" si="1"/>
        <v>-30000</v>
      </c>
      <c r="N8" s="13"/>
      <c r="O8" s="13"/>
      <c r="P8" s="13"/>
      <c r="Q8" s="14">
        <f t="shared" si="0"/>
        <v>-30000</v>
      </c>
    </row>
    <row r="9" spans="1:20">
      <c r="A9" s="9">
        <f>不提取累积情况!A8</f>
        <v>72</v>
      </c>
      <c r="B9" s="9">
        <v>5</v>
      </c>
      <c r="C9" s="10">
        <v>150000</v>
      </c>
      <c r="D9" s="11">
        <v>0</v>
      </c>
      <c r="E9" s="10">
        <v>306436</v>
      </c>
      <c r="F9" s="10">
        <v>42288</v>
      </c>
      <c r="G9" s="10">
        <v>7559</v>
      </c>
      <c r="H9" s="10">
        <v>20410</v>
      </c>
      <c r="I9" s="10">
        <v>70256</v>
      </c>
      <c r="L9" s="15">
        <f t="shared" si="2"/>
        <v>5</v>
      </c>
      <c r="M9" s="13"/>
      <c r="N9" s="13"/>
      <c r="O9" s="13"/>
      <c r="P9" s="13"/>
      <c r="Q9" s="14">
        <f t="shared" si="0"/>
        <v>0</v>
      </c>
    </row>
    <row r="10" spans="1:20">
      <c r="A10" s="6">
        <f>不提取累积情况!A9</f>
        <v>73</v>
      </c>
      <c r="B10" s="3">
        <v>6</v>
      </c>
      <c r="C10" s="4">
        <v>150000</v>
      </c>
      <c r="D10" s="5">
        <v>0</v>
      </c>
      <c r="E10" s="4">
        <v>306436</v>
      </c>
      <c r="F10" s="4">
        <v>55771</v>
      </c>
      <c r="G10" s="4">
        <v>10154</v>
      </c>
      <c r="H10" s="4">
        <v>65534</v>
      </c>
      <c r="I10" s="4">
        <v>131460</v>
      </c>
      <c r="L10" s="15">
        <f t="shared" si="2"/>
        <v>6</v>
      </c>
      <c r="M10" s="13"/>
      <c r="N10" s="14">
        <f t="shared" ref="N10:N11" si="3">D10</f>
        <v>0</v>
      </c>
      <c r="O10" s="14"/>
      <c r="P10" s="13"/>
      <c r="Q10" s="14">
        <f t="shared" si="0"/>
        <v>0</v>
      </c>
    </row>
    <row r="11" spans="1:20">
      <c r="A11" s="6">
        <f>不提取累积情况!A10</f>
        <v>74</v>
      </c>
      <c r="B11" s="6">
        <v>7</v>
      </c>
      <c r="C11" s="7">
        <v>150000</v>
      </c>
      <c r="D11" s="8">
        <v>0</v>
      </c>
      <c r="E11" s="7">
        <v>306436</v>
      </c>
      <c r="F11" s="7">
        <v>68948</v>
      </c>
      <c r="G11" s="7">
        <v>12789</v>
      </c>
      <c r="H11" s="7">
        <v>69272</v>
      </c>
      <c r="I11" s="7">
        <v>151008</v>
      </c>
      <c r="L11" s="15">
        <f t="shared" si="2"/>
        <v>7</v>
      </c>
      <c r="M11" s="13"/>
      <c r="N11" s="14">
        <f t="shared" si="3"/>
        <v>0</v>
      </c>
      <c r="O11" s="14"/>
      <c r="P11" s="13"/>
      <c r="Q11" s="14">
        <f t="shared" si="0"/>
        <v>0</v>
      </c>
    </row>
    <row r="12" spans="1:20">
      <c r="A12" s="6">
        <f>不提取累积情况!A11</f>
        <v>75</v>
      </c>
      <c r="B12" s="6">
        <v>8</v>
      </c>
      <c r="C12" s="7">
        <v>150000</v>
      </c>
      <c r="D12" s="8">
        <v>0</v>
      </c>
      <c r="E12" s="7">
        <v>306436</v>
      </c>
      <c r="F12" s="7">
        <v>88866</v>
      </c>
      <c r="G12" s="7">
        <v>15463</v>
      </c>
      <c r="H12" s="7">
        <v>69852</v>
      </c>
      <c r="I12" s="7">
        <v>174181</v>
      </c>
      <c r="L12" s="15">
        <f t="shared" si="2"/>
        <v>8</v>
      </c>
      <c r="M12" s="13"/>
      <c r="N12" s="14">
        <f>D12</f>
        <v>0</v>
      </c>
      <c r="O12" s="14"/>
      <c r="P12" s="13"/>
      <c r="Q12" s="14">
        <f t="shared" si="0"/>
        <v>0</v>
      </c>
    </row>
    <row r="13" spans="1:20">
      <c r="A13" s="6">
        <f>不提取累积情况!A12</f>
        <v>76</v>
      </c>
      <c r="B13" s="6">
        <v>9</v>
      </c>
      <c r="C13" s="7">
        <v>150000</v>
      </c>
      <c r="D13" s="8">
        <v>0</v>
      </c>
      <c r="E13" s="7">
        <v>306436</v>
      </c>
      <c r="F13" s="7">
        <v>91624</v>
      </c>
      <c r="G13" s="7">
        <v>18177</v>
      </c>
      <c r="H13" s="7">
        <v>76284</v>
      </c>
      <c r="I13" s="7">
        <v>186085</v>
      </c>
      <c r="L13" s="15">
        <f t="shared" si="2"/>
        <v>9</v>
      </c>
      <c r="M13" s="13"/>
      <c r="N13" s="14">
        <f t="shared" ref="N13:N61" si="4">D13</f>
        <v>0</v>
      </c>
      <c r="O13" s="14"/>
      <c r="P13" s="13"/>
      <c r="Q13" s="14">
        <f t="shared" si="0"/>
        <v>0</v>
      </c>
    </row>
    <row r="14" spans="1:20">
      <c r="A14" s="9">
        <f>不提取累积情况!A13</f>
        <v>77</v>
      </c>
      <c r="B14" s="9">
        <v>10</v>
      </c>
      <c r="C14" s="10">
        <v>150000</v>
      </c>
      <c r="D14" s="10">
        <v>13500</v>
      </c>
      <c r="E14" s="10">
        <v>306436</v>
      </c>
      <c r="F14" s="10">
        <v>94076</v>
      </c>
      <c r="G14" s="10">
        <v>8013</v>
      </c>
      <c r="H14" s="10">
        <v>81128</v>
      </c>
      <c r="I14" s="10">
        <v>183217</v>
      </c>
      <c r="L14" s="15">
        <f t="shared" si="2"/>
        <v>10</v>
      </c>
      <c r="M14" s="13"/>
      <c r="N14" s="14">
        <f t="shared" si="4"/>
        <v>13500</v>
      </c>
      <c r="O14" s="14"/>
      <c r="P14" s="13"/>
      <c r="Q14" s="14">
        <f t="shared" si="0"/>
        <v>13500</v>
      </c>
    </row>
    <row r="15" spans="1:20">
      <c r="A15" s="6">
        <f>不提取累积情况!A14</f>
        <v>78</v>
      </c>
      <c r="B15" s="3">
        <v>11</v>
      </c>
      <c r="C15" s="4">
        <v>147782</v>
      </c>
      <c r="D15" s="4">
        <v>13500</v>
      </c>
      <c r="E15" s="4">
        <v>301903</v>
      </c>
      <c r="F15" s="4">
        <v>95703</v>
      </c>
      <c r="G15" s="5">
        <v>0</v>
      </c>
      <c r="H15" s="4">
        <v>87552</v>
      </c>
      <c r="I15" s="4">
        <v>183255</v>
      </c>
      <c r="L15" s="15">
        <f t="shared" si="2"/>
        <v>11</v>
      </c>
      <c r="M15" s="13"/>
      <c r="N15" s="14">
        <f t="shared" si="4"/>
        <v>13500</v>
      </c>
      <c r="O15" s="14"/>
      <c r="P15" s="13"/>
      <c r="Q15" s="14">
        <f t="shared" si="0"/>
        <v>13500</v>
      </c>
    </row>
    <row r="16" spans="1:20">
      <c r="A16" s="6">
        <f>不提取累积情况!A15</f>
        <v>79</v>
      </c>
      <c r="B16" s="6">
        <v>12</v>
      </c>
      <c r="C16" s="7">
        <v>137751</v>
      </c>
      <c r="D16" s="7">
        <v>13500</v>
      </c>
      <c r="E16" s="7">
        <v>281411</v>
      </c>
      <c r="F16" s="7">
        <v>91740</v>
      </c>
      <c r="G16" s="8">
        <v>0</v>
      </c>
      <c r="H16" s="7">
        <v>91459</v>
      </c>
      <c r="I16" s="7">
        <v>183199</v>
      </c>
      <c r="L16" s="15">
        <f t="shared" si="2"/>
        <v>12</v>
      </c>
      <c r="M16" s="13"/>
      <c r="N16" s="14">
        <f t="shared" si="4"/>
        <v>13500</v>
      </c>
      <c r="O16" s="14"/>
      <c r="P16" s="13"/>
      <c r="Q16" s="14">
        <f t="shared" si="0"/>
        <v>13500</v>
      </c>
    </row>
    <row r="17" spans="1:17">
      <c r="A17" s="6">
        <f>不提取累积情况!A16</f>
        <v>80</v>
      </c>
      <c r="B17" s="6">
        <v>13</v>
      </c>
      <c r="C17" s="7">
        <v>128391</v>
      </c>
      <c r="D17" s="7">
        <v>13500</v>
      </c>
      <c r="E17" s="7">
        <v>262290</v>
      </c>
      <c r="F17" s="7">
        <v>88129</v>
      </c>
      <c r="G17" s="8">
        <v>0</v>
      </c>
      <c r="H17" s="7">
        <v>94949</v>
      </c>
      <c r="I17" s="7">
        <v>183078</v>
      </c>
      <c r="L17" s="15">
        <f t="shared" si="2"/>
        <v>13</v>
      </c>
      <c r="M17" s="13"/>
      <c r="N17" s="14">
        <f t="shared" si="4"/>
        <v>13500</v>
      </c>
      <c r="O17" s="14"/>
      <c r="P17" s="13"/>
      <c r="Q17" s="14">
        <f t="shared" si="0"/>
        <v>13500</v>
      </c>
    </row>
    <row r="18" spans="1:17">
      <c r="A18" s="6">
        <f>不提取累积情况!A17</f>
        <v>81</v>
      </c>
      <c r="B18" s="6">
        <v>14</v>
      </c>
      <c r="C18" s="7">
        <v>120043</v>
      </c>
      <c r="D18" s="7">
        <v>13500</v>
      </c>
      <c r="E18" s="7">
        <v>244486</v>
      </c>
      <c r="F18" s="7">
        <v>84592</v>
      </c>
      <c r="G18" s="8">
        <v>0</v>
      </c>
      <c r="H18" s="7">
        <v>98773</v>
      </c>
      <c r="I18" s="7">
        <v>183365</v>
      </c>
      <c r="L18" s="15">
        <f t="shared" si="2"/>
        <v>14</v>
      </c>
      <c r="M18" s="13"/>
      <c r="N18" s="14">
        <f t="shared" si="4"/>
        <v>13500</v>
      </c>
      <c r="O18" s="14"/>
      <c r="P18" s="13"/>
      <c r="Q18" s="14">
        <f t="shared" si="0"/>
        <v>13500</v>
      </c>
    </row>
    <row r="19" spans="1:17">
      <c r="A19" s="9">
        <f>不提取累积情况!A18</f>
        <v>82</v>
      </c>
      <c r="B19" s="9">
        <v>15</v>
      </c>
      <c r="C19" s="10">
        <v>111895</v>
      </c>
      <c r="D19" s="10">
        <v>13500</v>
      </c>
      <c r="E19" s="10">
        <v>227892</v>
      </c>
      <c r="F19" s="10">
        <v>81130</v>
      </c>
      <c r="G19" s="11">
        <v>0</v>
      </c>
      <c r="H19" s="10">
        <v>102324</v>
      </c>
      <c r="I19" s="10">
        <v>183453</v>
      </c>
      <c r="L19" s="15">
        <f t="shared" si="2"/>
        <v>15</v>
      </c>
      <c r="M19" s="13"/>
      <c r="N19" s="14">
        <f t="shared" si="4"/>
        <v>13500</v>
      </c>
      <c r="O19" s="14"/>
      <c r="P19" s="13"/>
      <c r="Q19" s="14">
        <f t="shared" si="0"/>
        <v>13500</v>
      </c>
    </row>
    <row r="20" spans="1:17">
      <c r="A20" s="6">
        <f>不提取累积情况!A19</f>
        <v>83</v>
      </c>
      <c r="B20" s="3">
        <v>16</v>
      </c>
      <c r="C20" s="4">
        <v>104335</v>
      </c>
      <c r="D20" s="4">
        <v>13500</v>
      </c>
      <c r="E20" s="4">
        <v>212496</v>
      </c>
      <c r="F20" s="4">
        <v>80748</v>
      </c>
      <c r="G20" s="5">
        <v>0</v>
      </c>
      <c r="H20" s="4">
        <v>103698</v>
      </c>
      <c r="I20" s="4">
        <v>184446</v>
      </c>
      <c r="L20" s="15">
        <f t="shared" si="2"/>
        <v>16</v>
      </c>
      <c r="M20" s="13"/>
      <c r="N20" s="14">
        <f t="shared" si="4"/>
        <v>13500</v>
      </c>
      <c r="O20" s="14"/>
      <c r="P20" s="13"/>
      <c r="Q20" s="14">
        <f t="shared" si="0"/>
        <v>13500</v>
      </c>
    </row>
    <row r="21" spans="1:17">
      <c r="A21" s="6">
        <f>不提取累积情况!A20</f>
        <v>84</v>
      </c>
      <c r="B21" s="6">
        <v>17</v>
      </c>
      <c r="C21" s="7">
        <v>97322</v>
      </c>
      <c r="D21" s="7">
        <v>13500</v>
      </c>
      <c r="E21" s="7">
        <v>198212</v>
      </c>
      <c r="F21" s="7">
        <v>80276</v>
      </c>
      <c r="G21" s="8">
        <v>0</v>
      </c>
      <c r="H21" s="7">
        <v>105250</v>
      </c>
      <c r="I21" s="7">
        <v>185526</v>
      </c>
      <c r="L21" s="15">
        <f t="shared" si="2"/>
        <v>17</v>
      </c>
      <c r="M21" s="13"/>
      <c r="N21" s="14">
        <f t="shared" si="4"/>
        <v>13500</v>
      </c>
      <c r="O21" s="14"/>
      <c r="P21" s="13"/>
      <c r="Q21" s="14">
        <f t="shared" si="0"/>
        <v>13500</v>
      </c>
    </row>
    <row r="22" spans="1:17">
      <c r="A22" s="6">
        <f>不提取累积情况!A21</f>
        <v>85</v>
      </c>
      <c r="B22" s="6">
        <v>18</v>
      </c>
      <c r="C22" s="7">
        <v>90888</v>
      </c>
      <c r="D22" s="7">
        <v>13500</v>
      </c>
      <c r="E22" s="7">
        <v>185108</v>
      </c>
      <c r="F22" s="7">
        <v>90518</v>
      </c>
      <c r="G22" s="8">
        <v>0</v>
      </c>
      <c r="H22" s="7">
        <v>98478</v>
      </c>
      <c r="I22" s="7">
        <v>188995</v>
      </c>
      <c r="L22" s="15">
        <f t="shared" si="2"/>
        <v>18</v>
      </c>
      <c r="M22" s="13"/>
      <c r="N22" s="14">
        <f t="shared" si="4"/>
        <v>13500</v>
      </c>
      <c r="O22" s="14"/>
      <c r="P22" s="13"/>
      <c r="Q22" s="14">
        <f t="shared" si="0"/>
        <v>13500</v>
      </c>
    </row>
    <row r="23" spans="1:17">
      <c r="A23" s="6">
        <f>不提取累积情况!A22</f>
        <v>86</v>
      </c>
      <c r="B23" s="6">
        <v>19</v>
      </c>
      <c r="C23" s="7">
        <v>84921</v>
      </c>
      <c r="D23" s="7">
        <v>13500</v>
      </c>
      <c r="E23" s="7">
        <v>172955</v>
      </c>
      <c r="F23" s="7">
        <v>85267</v>
      </c>
      <c r="G23" s="8">
        <v>0</v>
      </c>
      <c r="H23" s="7">
        <v>105156</v>
      </c>
      <c r="I23" s="7">
        <v>190423</v>
      </c>
      <c r="L23" s="15">
        <f t="shared" si="2"/>
        <v>19</v>
      </c>
      <c r="M23" s="13"/>
      <c r="N23" s="14">
        <f t="shared" si="4"/>
        <v>13500</v>
      </c>
      <c r="O23" s="14"/>
      <c r="P23" s="13"/>
      <c r="Q23" s="14">
        <f t="shared" si="0"/>
        <v>13500</v>
      </c>
    </row>
    <row r="24" spans="1:17">
      <c r="A24" s="9">
        <f>不提取累积情况!A23</f>
        <v>87</v>
      </c>
      <c r="B24" s="9">
        <v>20</v>
      </c>
      <c r="C24" s="10">
        <v>79361</v>
      </c>
      <c r="D24" s="10">
        <v>13500</v>
      </c>
      <c r="E24" s="10">
        <v>161632</v>
      </c>
      <c r="F24" s="10">
        <v>79846</v>
      </c>
      <c r="G24" s="11">
        <v>0</v>
      </c>
      <c r="H24" s="10">
        <v>111203</v>
      </c>
      <c r="I24" s="10">
        <v>191049</v>
      </c>
      <c r="L24" s="15">
        <f t="shared" si="2"/>
        <v>20</v>
      </c>
      <c r="M24" s="13"/>
      <c r="N24" s="14">
        <f t="shared" si="4"/>
        <v>13500</v>
      </c>
      <c r="O24" s="14"/>
      <c r="P24" s="13"/>
      <c r="Q24" s="14">
        <f t="shared" si="0"/>
        <v>13500</v>
      </c>
    </row>
    <row r="25" spans="1:17">
      <c r="A25" s="6">
        <f>不提取累积情况!A24</f>
        <v>88</v>
      </c>
      <c r="B25" s="3">
        <v>21</v>
      </c>
      <c r="C25" s="4">
        <v>74275</v>
      </c>
      <c r="D25" s="4">
        <v>13500</v>
      </c>
      <c r="E25" s="4">
        <v>151273</v>
      </c>
      <c r="F25" s="4">
        <v>74880</v>
      </c>
      <c r="G25" s="5">
        <v>0</v>
      </c>
      <c r="H25" s="4">
        <v>120565</v>
      </c>
      <c r="I25" s="4">
        <v>195445</v>
      </c>
      <c r="L25" s="15">
        <f t="shared" si="2"/>
        <v>21</v>
      </c>
      <c r="M25" s="13"/>
      <c r="N25" s="14">
        <f t="shared" si="4"/>
        <v>13500</v>
      </c>
      <c r="O25" s="14"/>
      <c r="P25" s="13"/>
      <c r="Q25" s="14">
        <f t="shared" si="0"/>
        <v>13500</v>
      </c>
    </row>
    <row r="26" spans="1:17">
      <c r="A26" s="6">
        <f>不提取累积情况!A25</f>
        <v>89</v>
      </c>
      <c r="B26" s="6">
        <v>22</v>
      </c>
      <c r="C26" s="7">
        <v>69820</v>
      </c>
      <c r="D26" s="7">
        <v>13500</v>
      </c>
      <c r="E26" s="7">
        <v>141767</v>
      </c>
      <c r="F26" s="7">
        <v>70317</v>
      </c>
      <c r="G26" s="8">
        <v>0</v>
      </c>
      <c r="H26" s="7">
        <v>129292</v>
      </c>
      <c r="I26" s="7">
        <v>199608</v>
      </c>
      <c r="L26" s="15">
        <f t="shared" si="2"/>
        <v>22</v>
      </c>
      <c r="M26" s="13"/>
      <c r="N26" s="14">
        <f t="shared" si="4"/>
        <v>13500</v>
      </c>
      <c r="O26" s="14"/>
      <c r="P26" s="13"/>
      <c r="Q26" s="14">
        <f t="shared" si="0"/>
        <v>13500</v>
      </c>
    </row>
    <row r="27" spans="1:17">
      <c r="A27" s="6">
        <f>不提取累积情况!A26</f>
        <v>90</v>
      </c>
      <c r="B27" s="6">
        <v>23</v>
      </c>
      <c r="C27" s="7">
        <v>65532</v>
      </c>
      <c r="D27" s="7">
        <v>13500</v>
      </c>
      <c r="E27" s="7">
        <v>133059</v>
      </c>
      <c r="F27" s="7">
        <v>66130</v>
      </c>
      <c r="G27" s="8">
        <v>0</v>
      </c>
      <c r="H27" s="7">
        <v>138382</v>
      </c>
      <c r="I27" s="7">
        <v>204512</v>
      </c>
      <c r="L27" s="15">
        <f t="shared" si="2"/>
        <v>23</v>
      </c>
      <c r="M27" s="13"/>
      <c r="N27" s="14">
        <f t="shared" si="4"/>
        <v>13500</v>
      </c>
      <c r="O27" s="14"/>
      <c r="P27" s="13"/>
      <c r="Q27" s="14">
        <f t="shared" si="0"/>
        <v>13500</v>
      </c>
    </row>
    <row r="28" spans="1:17">
      <c r="A28" s="6">
        <f>不提取累积情况!A27</f>
        <v>91</v>
      </c>
      <c r="B28" s="6">
        <v>24</v>
      </c>
      <c r="C28" s="7">
        <v>61556</v>
      </c>
      <c r="D28" s="7">
        <v>13500</v>
      </c>
      <c r="E28" s="7">
        <v>124986</v>
      </c>
      <c r="F28" s="7">
        <v>62243</v>
      </c>
      <c r="G28" s="8">
        <v>0</v>
      </c>
      <c r="H28" s="7">
        <v>144984</v>
      </c>
      <c r="I28" s="7">
        <v>207227</v>
      </c>
      <c r="L28" s="15">
        <f t="shared" si="2"/>
        <v>24</v>
      </c>
      <c r="M28" s="13"/>
      <c r="N28" s="14">
        <f t="shared" si="4"/>
        <v>13500</v>
      </c>
      <c r="O28" s="14"/>
      <c r="P28" s="13"/>
      <c r="Q28" s="14">
        <f t="shared" si="0"/>
        <v>13500</v>
      </c>
    </row>
    <row r="29" spans="1:17">
      <c r="A29" s="9">
        <f>不提取累积情况!A28</f>
        <v>92</v>
      </c>
      <c r="B29" s="9">
        <v>25</v>
      </c>
      <c r="C29" s="10">
        <v>57871</v>
      </c>
      <c r="D29" s="10">
        <v>13500</v>
      </c>
      <c r="E29" s="10">
        <v>117504</v>
      </c>
      <c r="F29" s="10">
        <v>58635</v>
      </c>
      <c r="G29" s="11">
        <v>0</v>
      </c>
      <c r="H29" s="10">
        <v>151580</v>
      </c>
      <c r="I29" s="10">
        <v>210215</v>
      </c>
      <c r="L29" s="15">
        <f t="shared" si="2"/>
        <v>25</v>
      </c>
      <c r="M29" s="13"/>
      <c r="N29" s="14">
        <f t="shared" si="4"/>
        <v>13500</v>
      </c>
      <c r="O29" s="14"/>
      <c r="P29" s="13"/>
      <c r="Q29" s="14">
        <f t="shared" si="0"/>
        <v>13500</v>
      </c>
    </row>
    <row r="30" spans="1:17">
      <c r="A30" s="6">
        <f>不提取累积情况!A29</f>
        <v>93</v>
      </c>
      <c r="B30" s="3">
        <v>26</v>
      </c>
      <c r="C30" s="4">
        <v>54453</v>
      </c>
      <c r="D30" s="4">
        <v>13500</v>
      </c>
      <c r="E30" s="4">
        <v>110565</v>
      </c>
      <c r="F30" s="4">
        <v>55282</v>
      </c>
      <c r="G30" s="5">
        <v>0</v>
      </c>
      <c r="H30" s="4">
        <v>157997</v>
      </c>
      <c r="I30" s="4">
        <v>213280</v>
      </c>
      <c r="L30" s="15">
        <f t="shared" si="2"/>
        <v>26</v>
      </c>
      <c r="M30" s="13"/>
      <c r="N30" s="14">
        <f t="shared" si="4"/>
        <v>13500</v>
      </c>
      <c r="O30" s="14"/>
      <c r="P30" s="13"/>
      <c r="Q30" s="14">
        <f t="shared" si="0"/>
        <v>13500</v>
      </c>
    </row>
    <row r="31" spans="1:17">
      <c r="A31" s="6">
        <f>不提取累积情况!A30</f>
        <v>94</v>
      </c>
      <c r="B31" s="6">
        <v>27</v>
      </c>
      <c r="C31" s="7">
        <v>51279</v>
      </c>
      <c r="D31" s="7">
        <v>13500</v>
      </c>
      <c r="E31" s="7">
        <v>104120</v>
      </c>
      <c r="F31" s="7">
        <v>52164</v>
      </c>
      <c r="G31" s="8">
        <v>0</v>
      </c>
      <c r="H31" s="7">
        <v>164093</v>
      </c>
      <c r="I31" s="7">
        <v>216257</v>
      </c>
      <c r="L31" s="15">
        <f t="shared" si="2"/>
        <v>27</v>
      </c>
      <c r="M31" s="13"/>
      <c r="N31" s="14">
        <f t="shared" si="4"/>
        <v>13500</v>
      </c>
      <c r="O31" s="14"/>
      <c r="P31" s="13"/>
      <c r="Q31" s="14">
        <f t="shared" si="0"/>
        <v>13500</v>
      </c>
    </row>
    <row r="32" spans="1:17">
      <c r="A32" s="6">
        <f>不提取累积情况!A31</f>
        <v>95</v>
      </c>
      <c r="B32" s="6">
        <v>28</v>
      </c>
      <c r="C32" s="7">
        <v>48305</v>
      </c>
      <c r="D32" s="7">
        <v>13500</v>
      </c>
      <c r="E32" s="7">
        <v>98082</v>
      </c>
      <c r="F32" s="7">
        <v>49237</v>
      </c>
      <c r="G32" s="8">
        <v>0</v>
      </c>
      <c r="H32" s="7">
        <v>168210</v>
      </c>
      <c r="I32" s="7">
        <v>217447</v>
      </c>
      <c r="L32" s="15">
        <f t="shared" si="2"/>
        <v>28</v>
      </c>
      <c r="M32" s="13"/>
      <c r="N32" s="14">
        <f t="shared" si="4"/>
        <v>13500</v>
      </c>
      <c r="O32" s="14"/>
      <c r="P32" s="13"/>
      <c r="Q32" s="14">
        <f t="shared" si="0"/>
        <v>13500</v>
      </c>
    </row>
    <row r="33" spans="1:17">
      <c r="A33" s="6">
        <f>不提取累积情况!A32</f>
        <v>96</v>
      </c>
      <c r="B33" s="6">
        <v>29</v>
      </c>
      <c r="C33" s="7">
        <v>45513</v>
      </c>
      <c r="D33" s="7">
        <v>13500</v>
      </c>
      <c r="E33" s="7">
        <v>92411</v>
      </c>
      <c r="F33" s="7">
        <v>46483</v>
      </c>
      <c r="G33" s="8">
        <v>0</v>
      </c>
      <c r="H33" s="7">
        <v>171700</v>
      </c>
      <c r="I33" s="7">
        <v>218183</v>
      </c>
      <c r="L33" s="15">
        <f t="shared" si="2"/>
        <v>29</v>
      </c>
      <c r="M33" s="13"/>
      <c r="N33" s="14">
        <f t="shared" si="4"/>
        <v>13500</v>
      </c>
      <c r="O33" s="14"/>
      <c r="P33" s="13"/>
      <c r="Q33" s="14">
        <f t="shared" si="0"/>
        <v>13500</v>
      </c>
    </row>
    <row r="34" spans="1:17">
      <c r="A34" s="6">
        <f>不提取累积情况!A33</f>
        <v>97</v>
      </c>
      <c r="B34" s="9">
        <v>30</v>
      </c>
      <c r="C34" s="10">
        <v>42936</v>
      </c>
      <c r="D34" s="10">
        <v>13500</v>
      </c>
      <c r="E34" s="10">
        <v>87180</v>
      </c>
      <c r="F34" s="10">
        <v>43939</v>
      </c>
      <c r="G34" s="11">
        <v>0</v>
      </c>
      <c r="H34" s="10">
        <v>179155</v>
      </c>
      <c r="I34" s="10">
        <v>223093</v>
      </c>
      <c r="L34" s="15">
        <f t="shared" si="2"/>
        <v>30</v>
      </c>
      <c r="M34" s="13"/>
      <c r="N34" s="14">
        <f t="shared" si="4"/>
        <v>13500</v>
      </c>
      <c r="O34" s="14"/>
      <c r="P34" s="13"/>
      <c r="Q34" s="14">
        <f t="shared" si="0"/>
        <v>13500</v>
      </c>
    </row>
    <row r="35" spans="1:17">
      <c r="A35" s="6">
        <f>不提取累积情况!A34</f>
        <v>98</v>
      </c>
      <c r="B35" s="3">
        <v>31</v>
      </c>
      <c r="C35" s="4">
        <v>40512</v>
      </c>
      <c r="D35" s="4">
        <v>13500</v>
      </c>
      <c r="E35" s="4">
        <v>82258</v>
      </c>
      <c r="F35" s="4">
        <v>41540</v>
      </c>
      <c r="G35" s="5">
        <v>0</v>
      </c>
      <c r="H35" s="4">
        <v>182201</v>
      </c>
      <c r="I35" s="4">
        <v>223741</v>
      </c>
      <c r="L35" s="15">
        <f t="shared" si="2"/>
        <v>31</v>
      </c>
      <c r="M35" s="13"/>
      <c r="N35" s="14">
        <f t="shared" si="4"/>
        <v>13500</v>
      </c>
      <c r="O35" s="14"/>
      <c r="P35" s="13"/>
      <c r="Q35" s="14">
        <f t="shared" si="0"/>
        <v>13500</v>
      </c>
    </row>
    <row r="36" spans="1:17">
      <c r="A36" s="6">
        <f>不提取累积情况!A35</f>
        <v>99</v>
      </c>
      <c r="B36" s="6">
        <v>32</v>
      </c>
      <c r="C36" s="7">
        <v>38230</v>
      </c>
      <c r="D36" s="7">
        <v>13500</v>
      </c>
      <c r="E36" s="7">
        <v>77625</v>
      </c>
      <c r="F36" s="7">
        <v>39278</v>
      </c>
      <c r="G36" s="8">
        <v>0</v>
      </c>
      <c r="H36" s="7">
        <v>185058</v>
      </c>
      <c r="I36" s="7">
        <v>224336</v>
      </c>
      <c r="L36" s="15">
        <f t="shared" si="2"/>
        <v>32</v>
      </c>
      <c r="M36" s="13"/>
      <c r="N36" s="14">
        <f t="shared" si="4"/>
        <v>13500</v>
      </c>
      <c r="O36" s="14"/>
      <c r="P36" s="13"/>
      <c r="Q36" s="14">
        <f t="shared" si="0"/>
        <v>13500</v>
      </c>
    </row>
    <row r="37" spans="1:17">
      <c r="A37" s="6">
        <f>不提取累积情况!A36</f>
        <v>100</v>
      </c>
      <c r="B37" s="6">
        <v>33</v>
      </c>
      <c r="C37" s="7">
        <v>36268</v>
      </c>
      <c r="D37" s="7">
        <v>13500</v>
      </c>
      <c r="E37" s="7">
        <v>73268</v>
      </c>
      <c r="F37" s="7">
        <v>37293</v>
      </c>
      <c r="G37" s="8">
        <v>0</v>
      </c>
      <c r="H37" s="7">
        <v>187859</v>
      </c>
      <c r="I37" s="7">
        <v>225153</v>
      </c>
      <c r="L37" s="15">
        <f t="shared" si="2"/>
        <v>33</v>
      </c>
      <c r="M37" s="13"/>
      <c r="N37" s="14">
        <f t="shared" si="4"/>
        <v>13500</v>
      </c>
      <c r="O37" s="14"/>
      <c r="P37" s="13"/>
      <c r="Q37" s="14">
        <f t="shared" si="0"/>
        <v>13500</v>
      </c>
    </row>
    <row r="38" spans="1:17">
      <c r="A38" s="3"/>
      <c r="B38" s="6">
        <v>34</v>
      </c>
      <c r="C38" s="7">
        <v>34239</v>
      </c>
      <c r="D38" s="7">
        <v>13500</v>
      </c>
      <c r="E38" s="7">
        <v>69169</v>
      </c>
      <c r="F38" s="7">
        <v>35415</v>
      </c>
      <c r="G38" s="8">
        <v>0</v>
      </c>
      <c r="H38" s="7">
        <v>190562</v>
      </c>
      <c r="I38" s="7">
        <v>225977</v>
      </c>
      <c r="L38" s="15">
        <f t="shared" si="2"/>
        <v>34</v>
      </c>
      <c r="M38" s="13"/>
      <c r="N38" s="14">
        <f t="shared" si="4"/>
        <v>13500</v>
      </c>
      <c r="O38" s="14"/>
      <c r="P38" s="13"/>
      <c r="Q38" s="14">
        <f t="shared" si="0"/>
        <v>13500</v>
      </c>
    </row>
    <row r="39" spans="1:17">
      <c r="A39" s="3"/>
      <c r="B39" s="9">
        <v>35</v>
      </c>
      <c r="C39" s="10">
        <v>32330</v>
      </c>
      <c r="D39" s="10">
        <v>13500</v>
      </c>
      <c r="E39" s="10">
        <v>65314</v>
      </c>
      <c r="F39" s="10">
        <v>33637</v>
      </c>
      <c r="G39" s="11">
        <v>0</v>
      </c>
      <c r="H39" s="10">
        <v>193198</v>
      </c>
      <c r="I39" s="10">
        <v>226835</v>
      </c>
      <c r="L39" s="15">
        <f t="shared" si="2"/>
        <v>35</v>
      </c>
      <c r="M39" s="13"/>
      <c r="N39" s="14">
        <f t="shared" si="4"/>
        <v>13500</v>
      </c>
      <c r="O39" s="14"/>
      <c r="P39" s="13"/>
      <c r="Q39" s="14">
        <f t="shared" si="0"/>
        <v>13500</v>
      </c>
    </row>
    <row r="40" spans="1:17">
      <c r="A40" s="3"/>
      <c r="B40" s="3">
        <v>36</v>
      </c>
      <c r="C40" s="4">
        <v>30535</v>
      </c>
      <c r="D40" s="4">
        <v>13500</v>
      </c>
      <c r="E40" s="4">
        <v>61687</v>
      </c>
      <c r="F40" s="4">
        <v>31892</v>
      </c>
      <c r="G40" s="5">
        <v>0</v>
      </c>
      <c r="H40" s="4">
        <v>195856</v>
      </c>
      <c r="I40" s="4">
        <v>227748</v>
      </c>
      <c r="L40" s="15">
        <f t="shared" si="2"/>
        <v>36</v>
      </c>
      <c r="M40" s="13"/>
      <c r="N40" s="14">
        <f t="shared" si="4"/>
        <v>13500</v>
      </c>
      <c r="O40" s="14"/>
      <c r="P40" s="13"/>
      <c r="Q40" s="14">
        <f t="shared" si="0"/>
        <v>13500</v>
      </c>
    </row>
    <row r="41" spans="1:17">
      <c r="A41" s="3"/>
      <c r="B41" s="6">
        <v>37</v>
      </c>
      <c r="C41" s="7">
        <v>28846</v>
      </c>
      <c r="D41" s="7">
        <v>13500</v>
      </c>
      <c r="E41" s="7">
        <v>58274</v>
      </c>
      <c r="F41" s="7">
        <v>30361</v>
      </c>
      <c r="G41" s="8">
        <v>0</v>
      </c>
      <c r="H41" s="7">
        <v>198307</v>
      </c>
      <c r="I41" s="7">
        <v>228668</v>
      </c>
      <c r="L41" s="15">
        <f t="shared" si="2"/>
        <v>37</v>
      </c>
      <c r="M41" s="13"/>
      <c r="N41" s="14">
        <f t="shared" si="4"/>
        <v>13500</v>
      </c>
      <c r="O41" s="14"/>
      <c r="P41" s="13"/>
      <c r="Q41" s="14">
        <f t="shared" si="0"/>
        <v>13500</v>
      </c>
    </row>
    <row r="42" spans="1:17">
      <c r="A42" s="3"/>
      <c r="B42" s="6">
        <v>38</v>
      </c>
      <c r="C42" s="7">
        <v>27256</v>
      </c>
      <c r="D42" s="7">
        <v>13500</v>
      </c>
      <c r="E42" s="7">
        <v>55063</v>
      </c>
      <c r="F42" s="7">
        <v>28908</v>
      </c>
      <c r="G42" s="8">
        <v>0</v>
      </c>
      <c r="H42" s="7">
        <v>200761</v>
      </c>
      <c r="I42" s="7">
        <v>229670</v>
      </c>
      <c r="L42" s="15">
        <f t="shared" si="2"/>
        <v>38</v>
      </c>
      <c r="M42" s="13"/>
      <c r="N42" s="14">
        <f t="shared" si="4"/>
        <v>13500</v>
      </c>
      <c r="O42" s="14"/>
      <c r="P42" s="13"/>
      <c r="Q42" s="14">
        <f t="shared" si="0"/>
        <v>13500</v>
      </c>
    </row>
    <row r="43" spans="1:17">
      <c r="A43" s="3"/>
      <c r="B43" s="6">
        <v>39</v>
      </c>
      <c r="C43" s="7">
        <v>25761</v>
      </c>
      <c r="D43" s="7">
        <v>13500</v>
      </c>
      <c r="E43" s="7">
        <v>52042</v>
      </c>
      <c r="F43" s="7">
        <v>27426</v>
      </c>
      <c r="G43" s="8">
        <v>0</v>
      </c>
      <c r="H43" s="7">
        <v>203223</v>
      </c>
      <c r="I43" s="7">
        <v>230649</v>
      </c>
      <c r="L43" s="15">
        <f t="shared" si="2"/>
        <v>39</v>
      </c>
      <c r="M43" s="13"/>
      <c r="N43" s="14">
        <f t="shared" si="4"/>
        <v>13500</v>
      </c>
      <c r="O43" s="14"/>
      <c r="P43" s="13"/>
      <c r="Q43" s="14">
        <f t="shared" si="0"/>
        <v>13500</v>
      </c>
    </row>
    <row r="44" spans="1:17">
      <c r="A44" s="3"/>
      <c r="B44" s="9">
        <v>40</v>
      </c>
      <c r="C44" s="10">
        <v>24468</v>
      </c>
      <c r="D44" s="10">
        <v>13500</v>
      </c>
      <c r="E44" s="10">
        <v>49429</v>
      </c>
      <c r="F44" s="10">
        <v>26287</v>
      </c>
      <c r="G44" s="11">
        <v>0</v>
      </c>
      <c r="H44" s="10">
        <v>206219</v>
      </c>
      <c r="I44" s="10">
        <v>232506</v>
      </c>
      <c r="L44" s="15">
        <f t="shared" si="2"/>
        <v>40</v>
      </c>
      <c r="M44" s="13"/>
      <c r="N44" s="14">
        <f t="shared" si="4"/>
        <v>13500</v>
      </c>
      <c r="O44" s="14"/>
      <c r="P44" s="13"/>
      <c r="Q44" s="14">
        <f t="shared" si="0"/>
        <v>13500</v>
      </c>
    </row>
    <row r="45" spans="1:17">
      <c r="A45" s="3"/>
      <c r="B45" s="3">
        <v>41</v>
      </c>
      <c r="C45" s="4">
        <v>23249</v>
      </c>
      <c r="D45" s="4">
        <v>13500</v>
      </c>
      <c r="E45" s="4">
        <v>46968</v>
      </c>
      <c r="F45" s="4">
        <v>25039</v>
      </c>
      <c r="G45" s="5">
        <v>0</v>
      </c>
      <c r="H45" s="4">
        <v>209382</v>
      </c>
      <c r="I45" s="4">
        <v>234421</v>
      </c>
      <c r="L45" s="15">
        <f t="shared" si="2"/>
        <v>41</v>
      </c>
      <c r="M45" s="13"/>
      <c r="N45" s="14">
        <f t="shared" si="4"/>
        <v>13500</v>
      </c>
      <c r="O45" s="14"/>
      <c r="P45" s="13"/>
      <c r="Q45" s="14">
        <f t="shared" si="0"/>
        <v>13500</v>
      </c>
    </row>
    <row r="46" spans="1:17">
      <c r="A46" s="3"/>
      <c r="B46" s="6">
        <v>42</v>
      </c>
      <c r="C46" s="7">
        <v>22101</v>
      </c>
      <c r="D46" s="7">
        <v>13500</v>
      </c>
      <c r="E46" s="7">
        <v>44649</v>
      </c>
      <c r="F46" s="7">
        <v>23861</v>
      </c>
      <c r="G46" s="8">
        <v>0</v>
      </c>
      <c r="H46" s="7">
        <v>212664</v>
      </c>
      <c r="I46" s="7">
        <v>236525</v>
      </c>
      <c r="L46" s="15">
        <f t="shared" si="2"/>
        <v>42</v>
      </c>
      <c r="M46" s="13"/>
      <c r="N46" s="14">
        <f t="shared" si="4"/>
        <v>13500</v>
      </c>
      <c r="O46" s="14"/>
      <c r="P46" s="13"/>
      <c r="Q46" s="14">
        <f t="shared" si="0"/>
        <v>13500</v>
      </c>
    </row>
    <row r="47" spans="1:17">
      <c r="A47" s="3"/>
      <c r="B47" s="6">
        <v>43</v>
      </c>
      <c r="C47" s="7">
        <v>21020</v>
      </c>
      <c r="D47" s="7">
        <v>13500</v>
      </c>
      <c r="E47" s="7">
        <v>42465</v>
      </c>
      <c r="F47" s="7">
        <v>22748</v>
      </c>
      <c r="G47" s="8">
        <v>0</v>
      </c>
      <c r="H47" s="7">
        <v>215934</v>
      </c>
      <c r="I47" s="7">
        <v>238683</v>
      </c>
      <c r="L47" s="15">
        <f t="shared" si="2"/>
        <v>43</v>
      </c>
      <c r="M47" s="13"/>
      <c r="N47" s="14">
        <f t="shared" si="4"/>
        <v>13500</v>
      </c>
      <c r="O47" s="14"/>
      <c r="P47" s="13"/>
      <c r="Q47" s="14">
        <f t="shared" si="0"/>
        <v>13500</v>
      </c>
    </row>
    <row r="48" spans="1:17">
      <c r="A48" s="3"/>
      <c r="B48" s="6">
        <v>44</v>
      </c>
      <c r="C48" s="7">
        <v>20002</v>
      </c>
      <c r="D48" s="7">
        <v>13500</v>
      </c>
      <c r="E48" s="7">
        <v>40408</v>
      </c>
      <c r="F48" s="7">
        <v>21699</v>
      </c>
      <c r="G48" s="8">
        <v>0</v>
      </c>
      <c r="H48" s="7">
        <v>219333</v>
      </c>
      <c r="I48" s="7">
        <v>241032</v>
      </c>
      <c r="L48" s="15">
        <f t="shared" si="2"/>
        <v>44</v>
      </c>
      <c r="M48" s="13"/>
      <c r="N48" s="14">
        <f t="shared" si="4"/>
        <v>13500</v>
      </c>
      <c r="O48" s="14"/>
      <c r="P48" s="13"/>
      <c r="Q48" s="14">
        <f t="shared" si="0"/>
        <v>13500</v>
      </c>
    </row>
    <row r="49" spans="1:17">
      <c r="A49" s="3"/>
      <c r="B49" s="9">
        <v>45</v>
      </c>
      <c r="C49" s="10">
        <v>19043</v>
      </c>
      <c r="D49" s="10">
        <v>13500</v>
      </c>
      <c r="E49" s="10">
        <v>38470</v>
      </c>
      <c r="F49" s="10">
        <v>20708</v>
      </c>
      <c r="G49" s="11">
        <v>0</v>
      </c>
      <c r="H49" s="10">
        <v>222819</v>
      </c>
      <c r="I49" s="10">
        <v>243528</v>
      </c>
      <c r="L49" s="15">
        <f t="shared" si="2"/>
        <v>45</v>
      </c>
      <c r="M49" s="13"/>
      <c r="N49" s="14">
        <f t="shared" si="4"/>
        <v>13500</v>
      </c>
      <c r="O49" s="14"/>
      <c r="P49" s="13"/>
      <c r="Q49" s="14">
        <f t="shared" si="0"/>
        <v>13500</v>
      </c>
    </row>
    <row r="50" spans="1:17">
      <c r="A50" s="3"/>
      <c r="B50" s="3">
        <v>46</v>
      </c>
      <c r="C50" s="4">
        <v>18140</v>
      </c>
      <c r="D50" s="4">
        <v>13500</v>
      </c>
      <c r="E50" s="4">
        <v>36645</v>
      </c>
      <c r="F50" s="4">
        <v>19774</v>
      </c>
      <c r="G50" s="5">
        <v>0</v>
      </c>
      <c r="H50" s="4">
        <v>226396</v>
      </c>
      <c r="I50" s="4">
        <v>246170</v>
      </c>
      <c r="L50" s="15">
        <f t="shared" si="2"/>
        <v>46</v>
      </c>
      <c r="M50" s="13"/>
      <c r="N50" s="14">
        <f t="shared" si="4"/>
        <v>13500</v>
      </c>
      <c r="O50" s="14"/>
      <c r="P50" s="13"/>
      <c r="Q50" s="14">
        <f t="shared" si="0"/>
        <v>13500</v>
      </c>
    </row>
    <row r="51" spans="1:17">
      <c r="A51" s="3"/>
      <c r="B51" s="6">
        <v>47</v>
      </c>
      <c r="C51" s="7">
        <v>17464</v>
      </c>
      <c r="D51" s="7">
        <v>13500</v>
      </c>
      <c r="E51" s="7">
        <v>34927</v>
      </c>
      <c r="F51" s="7">
        <v>18892</v>
      </c>
      <c r="G51" s="8">
        <v>0</v>
      </c>
      <c r="H51" s="7">
        <v>230064</v>
      </c>
      <c r="I51" s="7">
        <v>248956</v>
      </c>
      <c r="L51" s="15">
        <f t="shared" si="2"/>
        <v>47</v>
      </c>
      <c r="M51" s="13"/>
      <c r="N51" s="14">
        <f t="shared" si="4"/>
        <v>13500</v>
      </c>
      <c r="O51" s="14"/>
      <c r="P51" s="13"/>
      <c r="Q51" s="14">
        <f t="shared" si="0"/>
        <v>13500</v>
      </c>
    </row>
    <row r="52" spans="1:17">
      <c r="A52" s="3"/>
      <c r="B52" s="6">
        <v>48</v>
      </c>
      <c r="C52" s="7">
        <v>16654</v>
      </c>
      <c r="D52" s="7">
        <v>13500</v>
      </c>
      <c r="E52" s="7">
        <v>33309</v>
      </c>
      <c r="F52" s="7">
        <v>18087</v>
      </c>
      <c r="G52" s="8">
        <v>0</v>
      </c>
      <c r="H52" s="7">
        <v>233862</v>
      </c>
      <c r="I52" s="7">
        <v>251949</v>
      </c>
      <c r="L52" s="15">
        <f t="shared" si="2"/>
        <v>48</v>
      </c>
      <c r="M52" s="13"/>
      <c r="N52" s="14">
        <f t="shared" si="4"/>
        <v>13500</v>
      </c>
      <c r="O52" s="14"/>
      <c r="P52" s="13"/>
      <c r="Q52" s="14">
        <f t="shared" si="0"/>
        <v>13500</v>
      </c>
    </row>
    <row r="53" spans="1:17">
      <c r="A53" s="3"/>
      <c r="B53" s="6">
        <v>49</v>
      </c>
      <c r="C53" s="7">
        <v>15895</v>
      </c>
      <c r="D53" s="7">
        <v>13500</v>
      </c>
      <c r="E53" s="7">
        <v>31790</v>
      </c>
      <c r="F53" s="7">
        <v>17310</v>
      </c>
      <c r="G53" s="8">
        <v>0</v>
      </c>
      <c r="H53" s="7">
        <v>238552</v>
      </c>
      <c r="I53" s="7">
        <v>255862</v>
      </c>
      <c r="L53" s="15">
        <f t="shared" si="2"/>
        <v>49</v>
      </c>
      <c r="M53" s="13"/>
      <c r="N53" s="14">
        <f t="shared" si="4"/>
        <v>13500</v>
      </c>
      <c r="O53" s="14"/>
      <c r="P53" s="13"/>
      <c r="Q53" s="14">
        <f t="shared" si="0"/>
        <v>13500</v>
      </c>
    </row>
    <row r="54" spans="1:17">
      <c r="A54" s="3"/>
      <c r="B54" s="9">
        <v>50</v>
      </c>
      <c r="C54" s="10">
        <v>15180</v>
      </c>
      <c r="D54" s="10">
        <v>13500</v>
      </c>
      <c r="E54" s="10">
        <v>30359</v>
      </c>
      <c r="F54" s="10">
        <v>16576</v>
      </c>
      <c r="G54" s="11">
        <v>0</v>
      </c>
      <c r="H54" s="10">
        <v>242601</v>
      </c>
      <c r="I54" s="10">
        <v>259177</v>
      </c>
      <c r="L54" s="15">
        <f t="shared" si="2"/>
        <v>50</v>
      </c>
      <c r="M54" s="13"/>
      <c r="N54" s="14">
        <f t="shared" si="4"/>
        <v>13500</v>
      </c>
      <c r="O54" s="14"/>
      <c r="P54" s="13"/>
      <c r="Q54" s="14">
        <f t="shared" si="0"/>
        <v>13500</v>
      </c>
    </row>
    <row r="55" spans="1:17">
      <c r="A55" s="3"/>
      <c r="B55" s="3">
        <v>51</v>
      </c>
      <c r="C55" s="4">
        <v>14506</v>
      </c>
      <c r="D55" s="4">
        <v>13500</v>
      </c>
      <c r="E55" s="4">
        <v>29012</v>
      </c>
      <c r="F55" s="4">
        <v>15884</v>
      </c>
      <c r="G55" s="5">
        <v>0</v>
      </c>
      <c r="H55" s="4">
        <v>246773</v>
      </c>
      <c r="I55" s="4">
        <v>262657</v>
      </c>
      <c r="L55" s="15">
        <f t="shared" si="2"/>
        <v>51</v>
      </c>
      <c r="M55" s="13"/>
      <c r="N55" s="14">
        <f t="shared" si="4"/>
        <v>13500</v>
      </c>
      <c r="O55" s="14"/>
      <c r="P55" s="13"/>
      <c r="Q55" s="14">
        <f t="shared" si="0"/>
        <v>13500</v>
      </c>
    </row>
    <row r="56" spans="1:17">
      <c r="A56" s="3"/>
      <c r="B56" s="6">
        <v>52</v>
      </c>
      <c r="C56" s="7">
        <v>13871</v>
      </c>
      <c r="D56" s="7">
        <v>13500</v>
      </c>
      <c r="E56" s="7">
        <v>27742</v>
      </c>
      <c r="F56" s="7">
        <v>15231</v>
      </c>
      <c r="G56" s="8">
        <v>0</v>
      </c>
      <c r="H56" s="7">
        <v>251151</v>
      </c>
      <c r="I56" s="7">
        <v>266382</v>
      </c>
      <c r="L56" s="15">
        <f t="shared" si="2"/>
        <v>52</v>
      </c>
      <c r="M56" s="13"/>
      <c r="N56" s="14">
        <f t="shared" si="4"/>
        <v>13500</v>
      </c>
      <c r="O56" s="14"/>
      <c r="P56" s="13"/>
      <c r="Q56" s="14">
        <f t="shared" si="0"/>
        <v>13500</v>
      </c>
    </row>
    <row r="57" spans="1:17">
      <c r="A57" s="3"/>
      <c r="B57" s="6">
        <v>53</v>
      </c>
      <c r="C57" s="7">
        <v>13274</v>
      </c>
      <c r="D57" s="7">
        <v>13500</v>
      </c>
      <c r="E57" s="7">
        <v>26547</v>
      </c>
      <c r="F57" s="7">
        <v>14614</v>
      </c>
      <c r="G57" s="8">
        <v>0</v>
      </c>
      <c r="H57" s="7">
        <v>255727</v>
      </c>
      <c r="I57" s="7">
        <v>270341</v>
      </c>
      <c r="L57" s="15">
        <f t="shared" si="2"/>
        <v>53</v>
      </c>
      <c r="M57" s="13"/>
      <c r="N57" s="14">
        <f t="shared" si="4"/>
        <v>13500</v>
      </c>
      <c r="O57" s="14"/>
      <c r="P57" s="13"/>
      <c r="Q57" s="14">
        <f t="shared" si="0"/>
        <v>13500</v>
      </c>
    </row>
    <row r="58" spans="1:17">
      <c r="A58" s="3"/>
      <c r="B58" s="6">
        <v>54</v>
      </c>
      <c r="C58" s="7">
        <v>12711</v>
      </c>
      <c r="D58" s="7">
        <v>13500</v>
      </c>
      <c r="E58" s="7">
        <v>25422</v>
      </c>
      <c r="F58" s="7">
        <v>14058</v>
      </c>
      <c r="G58" s="8">
        <v>0</v>
      </c>
      <c r="H58" s="7">
        <v>260520</v>
      </c>
      <c r="I58" s="7">
        <v>274578</v>
      </c>
      <c r="L58" s="15">
        <f t="shared" si="2"/>
        <v>54</v>
      </c>
      <c r="M58" s="13"/>
      <c r="N58" s="14">
        <f t="shared" si="4"/>
        <v>13500</v>
      </c>
      <c r="O58" s="14"/>
      <c r="P58" s="13"/>
      <c r="Q58" s="14">
        <f t="shared" si="0"/>
        <v>13500</v>
      </c>
    </row>
    <row r="59" spans="1:17">
      <c r="A59" s="3"/>
      <c r="B59" s="9">
        <v>55</v>
      </c>
      <c r="C59" s="10">
        <v>12181</v>
      </c>
      <c r="D59" s="10">
        <v>13500</v>
      </c>
      <c r="E59" s="10">
        <v>24362</v>
      </c>
      <c r="F59" s="10">
        <v>13509</v>
      </c>
      <c r="G59" s="11">
        <v>0</v>
      </c>
      <c r="H59" s="10">
        <v>265544</v>
      </c>
      <c r="I59" s="10">
        <v>279052</v>
      </c>
      <c r="L59" s="15">
        <f t="shared" si="2"/>
        <v>55</v>
      </c>
      <c r="M59" s="13"/>
      <c r="N59" s="14">
        <f t="shared" si="4"/>
        <v>13500</v>
      </c>
      <c r="O59" s="14"/>
      <c r="P59" s="13"/>
      <c r="Q59" s="14">
        <f t="shared" si="0"/>
        <v>13500</v>
      </c>
    </row>
    <row r="60" spans="1:17">
      <c r="A60" s="3"/>
      <c r="B60" s="3">
        <v>56</v>
      </c>
      <c r="C60" s="4">
        <v>11682</v>
      </c>
      <c r="D60" s="4">
        <v>13500</v>
      </c>
      <c r="E60" s="4">
        <v>23364</v>
      </c>
      <c r="F60" s="4">
        <v>12990</v>
      </c>
      <c r="G60" s="5">
        <v>0</v>
      </c>
      <c r="H60" s="4">
        <v>270837</v>
      </c>
      <c r="I60" s="4">
        <v>283828</v>
      </c>
      <c r="L60" s="15">
        <f t="shared" si="2"/>
        <v>56</v>
      </c>
      <c r="M60" s="13"/>
      <c r="N60" s="14">
        <f t="shared" si="4"/>
        <v>13500</v>
      </c>
      <c r="O60" s="14"/>
      <c r="P60" s="13"/>
      <c r="Q60" s="14">
        <f t="shared" si="0"/>
        <v>13500</v>
      </c>
    </row>
    <row r="61" spans="1:17">
      <c r="A61" s="3"/>
      <c r="B61" s="6">
        <v>57</v>
      </c>
      <c r="C61" s="7">
        <v>11213</v>
      </c>
      <c r="D61" s="7">
        <v>13500</v>
      </c>
      <c r="E61" s="7">
        <v>22425</v>
      </c>
      <c r="F61" s="7">
        <v>12502</v>
      </c>
      <c r="G61" s="8">
        <v>0</v>
      </c>
      <c r="H61" s="7">
        <v>276411</v>
      </c>
      <c r="I61" s="7">
        <v>288913</v>
      </c>
      <c r="L61" s="15">
        <f t="shared" si="2"/>
        <v>57</v>
      </c>
      <c r="M61" s="13"/>
      <c r="N61" s="14">
        <f t="shared" si="4"/>
        <v>13500</v>
      </c>
      <c r="O61" s="14"/>
      <c r="P61" s="14"/>
      <c r="Q61" s="14">
        <f t="shared" si="0"/>
        <v>13500</v>
      </c>
    </row>
    <row r="62" spans="1:17">
      <c r="A62" s="3"/>
      <c r="B62" s="6">
        <v>58</v>
      </c>
      <c r="C62" s="7">
        <v>10771</v>
      </c>
      <c r="D62" s="7">
        <v>13500</v>
      </c>
      <c r="E62" s="7">
        <v>21541</v>
      </c>
      <c r="F62" s="7">
        <v>12042</v>
      </c>
      <c r="G62" s="8">
        <v>0</v>
      </c>
      <c r="H62" s="7">
        <v>282298</v>
      </c>
      <c r="I62" s="7">
        <v>294339</v>
      </c>
      <c r="L62" s="15">
        <f t="shared" ref="L62:L94" si="5">B62</f>
        <v>58</v>
      </c>
      <c r="M62" s="13"/>
      <c r="N62" s="14">
        <f t="shared" ref="N62:N94" si="6">D62</f>
        <v>13500</v>
      </c>
      <c r="O62" s="14"/>
      <c r="P62" s="14"/>
      <c r="Q62" s="14">
        <f t="shared" ref="Q62:Q94" si="7">M62+N62+P62+O62</f>
        <v>13500</v>
      </c>
    </row>
    <row r="63" spans="1:17">
      <c r="A63" s="6"/>
      <c r="B63" s="6">
        <v>59</v>
      </c>
      <c r="C63" s="7">
        <v>10355</v>
      </c>
      <c r="D63" s="7">
        <v>13500</v>
      </c>
      <c r="E63" s="7">
        <v>20709</v>
      </c>
      <c r="F63" s="7">
        <v>11608</v>
      </c>
      <c r="G63" s="8">
        <v>0</v>
      </c>
      <c r="H63" s="7">
        <v>288483</v>
      </c>
      <c r="I63" s="7">
        <v>300090</v>
      </c>
      <c r="L63" s="15">
        <f t="shared" si="5"/>
        <v>59</v>
      </c>
      <c r="M63" s="13"/>
      <c r="N63" s="14">
        <f t="shared" si="6"/>
        <v>13500</v>
      </c>
      <c r="O63" s="14"/>
      <c r="P63" s="14"/>
      <c r="Q63" s="14">
        <f t="shared" si="7"/>
        <v>13500</v>
      </c>
    </row>
    <row r="64" spans="1:17">
      <c r="A64" s="9"/>
      <c r="B64" s="9">
        <v>60</v>
      </c>
      <c r="C64" s="10">
        <v>9963</v>
      </c>
      <c r="D64" s="10">
        <v>13500</v>
      </c>
      <c r="E64" s="10">
        <v>19927</v>
      </c>
      <c r="F64" s="10">
        <v>11199</v>
      </c>
      <c r="G64" s="11">
        <v>0</v>
      </c>
      <c r="H64" s="10">
        <v>295016</v>
      </c>
      <c r="I64" s="10">
        <v>306215</v>
      </c>
      <c r="L64" s="15">
        <f t="shared" si="5"/>
        <v>60</v>
      </c>
      <c r="M64" s="13"/>
      <c r="N64" s="14">
        <f t="shared" si="6"/>
        <v>13500</v>
      </c>
      <c r="O64" s="14"/>
      <c r="P64" s="14"/>
      <c r="Q64" s="14">
        <f t="shared" si="7"/>
        <v>13500</v>
      </c>
    </row>
    <row r="65" spans="1:17">
      <c r="A65" s="3"/>
      <c r="B65" s="3">
        <v>61</v>
      </c>
      <c r="C65" s="4">
        <v>9595</v>
      </c>
      <c r="D65" s="4">
        <v>13500</v>
      </c>
      <c r="E65" s="4">
        <v>19190</v>
      </c>
      <c r="F65" s="4">
        <v>10814</v>
      </c>
      <c r="G65" s="5">
        <v>0</v>
      </c>
      <c r="H65" s="4">
        <v>301923</v>
      </c>
      <c r="I65" s="4">
        <v>312737</v>
      </c>
      <c r="L65" s="15">
        <f t="shared" si="5"/>
        <v>61</v>
      </c>
      <c r="M65" s="13"/>
      <c r="N65" s="14">
        <f t="shared" si="6"/>
        <v>13500</v>
      </c>
      <c r="O65" s="14"/>
      <c r="P65" s="14"/>
      <c r="Q65" s="14">
        <f t="shared" si="7"/>
        <v>13500</v>
      </c>
    </row>
    <row r="66" spans="1:17">
      <c r="A66" s="6"/>
      <c r="B66" s="6">
        <v>62</v>
      </c>
      <c r="C66" s="7">
        <v>9249</v>
      </c>
      <c r="D66" s="7">
        <v>13500</v>
      </c>
      <c r="E66" s="7">
        <v>18498</v>
      </c>
      <c r="F66" s="7">
        <v>10451</v>
      </c>
      <c r="G66" s="8">
        <v>0</v>
      </c>
      <c r="H66" s="7">
        <v>309247</v>
      </c>
      <c r="I66" s="7">
        <v>319699</v>
      </c>
      <c r="L66" s="15">
        <f t="shared" si="5"/>
        <v>62</v>
      </c>
      <c r="M66" s="13"/>
      <c r="N66" s="14">
        <f t="shared" si="6"/>
        <v>13500</v>
      </c>
      <c r="O66" s="14"/>
      <c r="P66" s="14"/>
      <c r="Q66" s="14">
        <f t="shared" si="7"/>
        <v>13500</v>
      </c>
    </row>
    <row r="67" spans="1:17">
      <c r="A67" s="6"/>
      <c r="B67" s="6">
        <v>63</v>
      </c>
      <c r="C67" s="7">
        <v>8923</v>
      </c>
      <c r="D67" s="7">
        <v>13500</v>
      </c>
      <c r="E67" s="7">
        <v>17847</v>
      </c>
      <c r="F67" s="7">
        <v>10119</v>
      </c>
      <c r="G67" s="8">
        <v>0</v>
      </c>
      <c r="H67" s="7">
        <v>316972</v>
      </c>
      <c r="I67" s="7">
        <v>327091</v>
      </c>
      <c r="L67" s="15">
        <f t="shared" si="5"/>
        <v>63</v>
      </c>
      <c r="M67" s="13"/>
      <c r="N67" s="14">
        <f t="shared" si="6"/>
        <v>13500</v>
      </c>
      <c r="O67" s="14"/>
      <c r="P67" s="14"/>
      <c r="Q67" s="14">
        <f t="shared" si="7"/>
        <v>13500</v>
      </c>
    </row>
    <row r="68" spans="1:17">
      <c r="A68" s="6"/>
      <c r="B68" s="6">
        <v>64</v>
      </c>
      <c r="C68" s="7">
        <v>8617</v>
      </c>
      <c r="D68" s="7">
        <v>13500</v>
      </c>
      <c r="E68" s="7">
        <v>17234</v>
      </c>
      <c r="F68" s="7">
        <v>9806</v>
      </c>
      <c r="G68" s="8">
        <v>0</v>
      </c>
      <c r="H68" s="7">
        <v>325154</v>
      </c>
      <c r="I68" s="7">
        <v>334960</v>
      </c>
      <c r="L68" s="15">
        <f t="shared" si="5"/>
        <v>64</v>
      </c>
      <c r="M68" s="13"/>
      <c r="N68" s="14">
        <f t="shared" si="6"/>
        <v>13500</v>
      </c>
      <c r="O68" s="14"/>
      <c r="P68" s="14"/>
      <c r="Q68" s="14">
        <f t="shared" si="7"/>
        <v>13500</v>
      </c>
    </row>
    <row r="69" spans="1:17">
      <c r="A69" s="9"/>
      <c r="B69" s="9">
        <v>65</v>
      </c>
      <c r="C69" s="10">
        <v>8329</v>
      </c>
      <c r="D69" s="10">
        <v>13500</v>
      </c>
      <c r="E69" s="10">
        <v>16658</v>
      </c>
      <c r="F69" s="10">
        <v>9512</v>
      </c>
      <c r="G69" s="11">
        <v>0</v>
      </c>
      <c r="H69" s="10">
        <v>333847</v>
      </c>
      <c r="I69" s="10">
        <v>343359</v>
      </c>
      <c r="L69" s="15">
        <f t="shared" si="5"/>
        <v>65</v>
      </c>
      <c r="M69" s="13"/>
      <c r="N69" s="14">
        <f t="shared" si="6"/>
        <v>13500</v>
      </c>
      <c r="O69" s="14"/>
      <c r="P69" s="14"/>
      <c r="Q69" s="14">
        <f t="shared" si="7"/>
        <v>13500</v>
      </c>
    </row>
    <row r="70" spans="1:17">
      <c r="A70" s="3"/>
      <c r="B70" s="3">
        <v>66</v>
      </c>
      <c r="C70" s="4">
        <v>8059</v>
      </c>
      <c r="D70" s="4">
        <v>13500</v>
      </c>
      <c r="E70" s="4">
        <v>16117</v>
      </c>
      <c r="F70" s="4">
        <v>9235</v>
      </c>
      <c r="G70" s="5">
        <v>0</v>
      </c>
      <c r="H70" s="4">
        <v>343051</v>
      </c>
      <c r="I70" s="4">
        <v>352286</v>
      </c>
      <c r="L70" s="15">
        <f t="shared" si="5"/>
        <v>66</v>
      </c>
      <c r="M70" s="13"/>
      <c r="N70" s="14">
        <f t="shared" si="6"/>
        <v>13500</v>
      </c>
      <c r="O70" s="14"/>
      <c r="P70" s="14"/>
      <c r="Q70" s="14">
        <f t="shared" si="7"/>
        <v>13500</v>
      </c>
    </row>
    <row r="71" spans="1:17">
      <c r="A71" s="6"/>
      <c r="B71" s="6">
        <v>67</v>
      </c>
      <c r="C71" s="7">
        <v>7804</v>
      </c>
      <c r="D71" s="7">
        <v>13500</v>
      </c>
      <c r="E71" s="7">
        <v>15608</v>
      </c>
      <c r="F71" s="7">
        <v>8975</v>
      </c>
      <c r="G71" s="8">
        <v>0</v>
      </c>
      <c r="H71" s="7">
        <v>352813</v>
      </c>
      <c r="I71" s="7">
        <v>361788</v>
      </c>
      <c r="L71" s="15">
        <f t="shared" si="5"/>
        <v>67</v>
      </c>
      <c r="M71" s="13"/>
      <c r="N71" s="14">
        <f t="shared" si="6"/>
        <v>13500</v>
      </c>
      <c r="O71" s="14"/>
      <c r="P71" s="14"/>
      <c r="Q71" s="14">
        <f t="shared" si="7"/>
        <v>13500</v>
      </c>
    </row>
    <row r="72" spans="1:17">
      <c r="A72" s="6"/>
      <c r="B72" s="6">
        <v>68</v>
      </c>
      <c r="C72" s="7">
        <v>7565</v>
      </c>
      <c r="D72" s="7">
        <v>13500</v>
      </c>
      <c r="E72" s="7">
        <v>15131</v>
      </c>
      <c r="F72" s="7">
        <v>8746</v>
      </c>
      <c r="G72" s="8">
        <v>0</v>
      </c>
      <c r="H72" s="7">
        <v>363166</v>
      </c>
      <c r="I72" s="7">
        <v>371912</v>
      </c>
      <c r="L72" s="15">
        <f t="shared" si="5"/>
        <v>68</v>
      </c>
      <c r="M72" s="13"/>
      <c r="N72" s="14">
        <f t="shared" si="6"/>
        <v>13500</v>
      </c>
      <c r="O72" s="14"/>
      <c r="P72" s="14"/>
      <c r="Q72" s="14">
        <f t="shared" si="7"/>
        <v>13500</v>
      </c>
    </row>
    <row r="73" spans="1:17">
      <c r="A73" s="6"/>
      <c r="B73" s="6">
        <v>69</v>
      </c>
      <c r="C73" s="7">
        <v>7341</v>
      </c>
      <c r="D73" s="7">
        <v>13500</v>
      </c>
      <c r="E73" s="7">
        <v>14682</v>
      </c>
      <c r="F73" s="7">
        <v>8510</v>
      </c>
      <c r="G73" s="8">
        <v>0</v>
      </c>
      <c r="H73" s="7">
        <v>374168</v>
      </c>
      <c r="I73" s="7">
        <v>382678</v>
      </c>
      <c r="L73" s="15">
        <f t="shared" si="5"/>
        <v>69</v>
      </c>
      <c r="M73" s="13"/>
      <c r="N73" s="14">
        <f t="shared" si="6"/>
        <v>13500</v>
      </c>
      <c r="O73" s="14"/>
      <c r="P73" s="14"/>
      <c r="Q73" s="14">
        <f t="shared" si="7"/>
        <v>13500</v>
      </c>
    </row>
    <row r="74" spans="1:17">
      <c r="A74" s="9"/>
      <c r="B74" s="9">
        <v>70</v>
      </c>
      <c r="C74" s="10">
        <v>7130</v>
      </c>
      <c r="D74" s="10">
        <v>13500</v>
      </c>
      <c r="E74" s="10">
        <v>14261</v>
      </c>
      <c r="F74" s="10">
        <v>8300</v>
      </c>
      <c r="G74" s="11">
        <v>0</v>
      </c>
      <c r="H74" s="10">
        <v>385862</v>
      </c>
      <c r="I74" s="10">
        <v>394162</v>
      </c>
      <c r="L74" s="15">
        <f t="shared" si="5"/>
        <v>70</v>
      </c>
      <c r="M74" s="13"/>
      <c r="N74" s="14">
        <f t="shared" si="6"/>
        <v>13500</v>
      </c>
      <c r="O74" s="14"/>
      <c r="P74" s="14"/>
      <c r="Q74" s="14">
        <f t="shared" si="7"/>
        <v>13500</v>
      </c>
    </row>
    <row r="75" spans="1:17">
      <c r="A75" s="3"/>
      <c r="B75" s="3">
        <v>71</v>
      </c>
      <c r="C75" s="4">
        <v>6933</v>
      </c>
      <c r="D75" s="4">
        <v>13500</v>
      </c>
      <c r="E75" s="4">
        <v>13865</v>
      </c>
      <c r="F75" s="4">
        <v>8111</v>
      </c>
      <c r="G75" s="5">
        <v>0</v>
      </c>
      <c r="H75" s="4">
        <v>398273</v>
      </c>
      <c r="I75" s="4">
        <v>406384</v>
      </c>
      <c r="L75" s="15">
        <f t="shared" si="5"/>
        <v>71</v>
      </c>
      <c r="M75" s="13"/>
      <c r="N75" s="14">
        <f t="shared" si="6"/>
        <v>13500</v>
      </c>
      <c r="O75" s="14"/>
      <c r="P75" s="14"/>
      <c r="Q75" s="14">
        <f t="shared" si="7"/>
        <v>13500</v>
      </c>
    </row>
    <row r="76" spans="1:17">
      <c r="A76" s="6"/>
      <c r="B76" s="6">
        <v>72</v>
      </c>
      <c r="C76" s="7">
        <v>6747</v>
      </c>
      <c r="D76" s="7">
        <v>13500</v>
      </c>
      <c r="E76" s="7">
        <v>13494</v>
      </c>
      <c r="F76" s="7">
        <v>7921</v>
      </c>
      <c r="G76" s="8">
        <v>0</v>
      </c>
      <c r="H76" s="7">
        <v>411470</v>
      </c>
      <c r="I76" s="7">
        <v>419390</v>
      </c>
      <c r="L76" s="15">
        <f t="shared" si="5"/>
        <v>72</v>
      </c>
      <c r="M76" s="13"/>
      <c r="N76" s="14">
        <f t="shared" si="6"/>
        <v>13500</v>
      </c>
      <c r="O76" s="14"/>
      <c r="P76" s="14"/>
      <c r="Q76" s="14">
        <f t="shared" si="7"/>
        <v>13500</v>
      </c>
    </row>
    <row r="77" spans="1:17">
      <c r="A77" s="6"/>
      <c r="B77" s="6">
        <v>73</v>
      </c>
      <c r="C77" s="7">
        <v>6573</v>
      </c>
      <c r="D77" s="7">
        <v>13500</v>
      </c>
      <c r="E77" s="7">
        <v>13146</v>
      </c>
      <c r="F77" s="7">
        <v>7756</v>
      </c>
      <c r="G77" s="8">
        <v>0</v>
      </c>
      <c r="H77" s="7">
        <v>425502</v>
      </c>
      <c r="I77" s="7">
        <v>433258</v>
      </c>
      <c r="L77" s="15">
        <f t="shared" si="5"/>
        <v>73</v>
      </c>
      <c r="M77" s="13"/>
      <c r="N77" s="14">
        <f t="shared" si="6"/>
        <v>13500</v>
      </c>
      <c r="O77" s="14"/>
      <c r="P77" s="14"/>
      <c r="Q77" s="14">
        <f t="shared" si="7"/>
        <v>13500</v>
      </c>
    </row>
    <row r="78" spans="1:17">
      <c r="A78" s="6"/>
      <c r="B78" s="6">
        <v>74</v>
      </c>
      <c r="C78" s="7">
        <v>6410</v>
      </c>
      <c r="D78" s="7">
        <v>13500</v>
      </c>
      <c r="E78" s="7">
        <v>12819</v>
      </c>
      <c r="F78" s="7">
        <v>7589</v>
      </c>
      <c r="G78" s="8">
        <v>0</v>
      </c>
      <c r="H78" s="7">
        <v>440421</v>
      </c>
      <c r="I78" s="7">
        <v>448010</v>
      </c>
      <c r="L78" s="15">
        <f t="shared" si="5"/>
        <v>74</v>
      </c>
      <c r="M78" s="13"/>
      <c r="N78" s="14">
        <f t="shared" si="6"/>
        <v>13500</v>
      </c>
      <c r="O78" s="14"/>
      <c r="P78" s="14"/>
      <c r="Q78" s="14">
        <f t="shared" si="7"/>
        <v>13500</v>
      </c>
    </row>
    <row r="79" spans="1:17">
      <c r="A79" s="9"/>
      <c r="B79" s="9">
        <v>75</v>
      </c>
      <c r="C79" s="10">
        <v>6257</v>
      </c>
      <c r="D79" s="10">
        <v>13500</v>
      </c>
      <c r="E79" s="10">
        <v>12513</v>
      </c>
      <c r="F79" s="10">
        <v>7433</v>
      </c>
      <c r="G79" s="11">
        <v>0</v>
      </c>
      <c r="H79" s="10">
        <v>456287</v>
      </c>
      <c r="I79" s="10">
        <v>463720</v>
      </c>
      <c r="L79" s="15">
        <f t="shared" si="5"/>
        <v>75</v>
      </c>
      <c r="M79" s="13"/>
      <c r="N79" s="14">
        <f t="shared" si="6"/>
        <v>13500</v>
      </c>
      <c r="O79" s="14"/>
      <c r="P79" s="14"/>
      <c r="Q79" s="14">
        <f t="shared" si="7"/>
        <v>13500</v>
      </c>
    </row>
    <row r="80" spans="1:17">
      <c r="A80" s="3"/>
      <c r="B80" s="3">
        <v>76</v>
      </c>
      <c r="C80" s="4">
        <v>6113</v>
      </c>
      <c r="D80" s="4">
        <v>13500</v>
      </c>
      <c r="E80" s="4">
        <v>12227</v>
      </c>
      <c r="F80" s="4">
        <v>7287</v>
      </c>
      <c r="G80" s="5">
        <v>0</v>
      </c>
      <c r="H80" s="4">
        <v>473173</v>
      </c>
      <c r="I80" s="4">
        <v>480460</v>
      </c>
      <c r="L80" s="15">
        <f t="shared" si="5"/>
        <v>76</v>
      </c>
      <c r="M80" s="13"/>
      <c r="N80" s="14">
        <f t="shared" si="6"/>
        <v>13500</v>
      </c>
      <c r="O80" s="14"/>
      <c r="P80" s="14"/>
      <c r="Q80" s="14">
        <f t="shared" si="7"/>
        <v>13500</v>
      </c>
    </row>
    <row r="81" spans="1:17">
      <c r="A81" s="6"/>
      <c r="B81" s="6">
        <v>77</v>
      </c>
      <c r="C81" s="7">
        <v>5979</v>
      </c>
      <c r="D81" s="7">
        <v>13500</v>
      </c>
      <c r="E81" s="7">
        <v>11958</v>
      </c>
      <c r="F81" s="7">
        <v>7163</v>
      </c>
      <c r="G81" s="8">
        <v>0</v>
      </c>
      <c r="H81" s="7">
        <v>491113</v>
      </c>
      <c r="I81" s="7">
        <v>498276</v>
      </c>
      <c r="L81" s="15">
        <f t="shared" si="5"/>
        <v>77</v>
      </c>
      <c r="M81" s="13"/>
      <c r="N81" s="14">
        <f t="shared" si="6"/>
        <v>13500</v>
      </c>
      <c r="O81" s="14"/>
      <c r="P81" s="14"/>
      <c r="Q81" s="14">
        <f t="shared" si="7"/>
        <v>13500</v>
      </c>
    </row>
    <row r="82" spans="1:17">
      <c r="A82" s="6"/>
      <c r="B82" s="6">
        <v>78</v>
      </c>
      <c r="C82" s="7">
        <v>5854</v>
      </c>
      <c r="D82" s="7">
        <v>13500</v>
      </c>
      <c r="E82" s="7">
        <v>11707</v>
      </c>
      <c r="F82" s="7">
        <v>7048</v>
      </c>
      <c r="G82" s="8">
        <v>0</v>
      </c>
      <c r="H82" s="7">
        <v>510215</v>
      </c>
      <c r="I82" s="7">
        <v>517262</v>
      </c>
      <c r="L82" s="15">
        <f t="shared" si="5"/>
        <v>78</v>
      </c>
      <c r="M82" s="13"/>
      <c r="N82" s="14">
        <f t="shared" si="6"/>
        <v>13500</v>
      </c>
      <c r="O82" s="14"/>
      <c r="P82" s="14"/>
      <c r="Q82" s="14">
        <f t="shared" si="7"/>
        <v>13500</v>
      </c>
    </row>
    <row r="83" spans="1:17">
      <c r="A83" s="6"/>
      <c r="B83" s="6">
        <v>79</v>
      </c>
      <c r="C83" s="7">
        <v>5736</v>
      </c>
      <c r="D83" s="7">
        <v>13500</v>
      </c>
      <c r="E83" s="7">
        <v>11472</v>
      </c>
      <c r="F83" s="7">
        <v>6929</v>
      </c>
      <c r="G83" s="8">
        <v>0</v>
      </c>
      <c r="H83" s="7">
        <v>530533</v>
      </c>
      <c r="I83" s="7">
        <v>537462</v>
      </c>
      <c r="L83" s="15">
        <f t="shared" si="5"/>
        <v>79</v>
      </c>
      <c r="M83" s="13"/>
      <c r="N83" s="14">
        <f t="shared" si="6"/>
        <v>13500</v>
      </c>
      <c r="O83" s="14"/>
      <c r="P83" s="14"/>
      <c r="Q83" s="14">
        <f t="shared" si="7"/>
        <v>13500</v>
      </c>
    </row>
    <row r="84" spans="1:17">
      <c r="A84" s="9"/>
      <c r="B84" s="9">
        <v>80</v>
      </c>
      <c r="C84" s="10">
        <v>5626</v>
      </c>
      <c r="D84" s="10">
        <v>13500</v>
      </c>
      <c r="E84" s="10">
        <v>11252</v>
      </c>
      <c r="F84" s="10">
        <v>6830</v>
      </c>
      <c r="G84" s="11">
        <v>0</v>
      </c>
      <c r="H84" s="10">
        <v>552160</v>
      </c>
      <c r="I84" s="10">
        <v>558990</v>
      </c>
      <c r="L84" s="15">
        <f t="shared" si="5"/>
        <v>80</v>
      </c>
      <c r="M84" s="13"/>
      <c r="N84" s="14">
        <f t="shared" si="6"/>
        <v>13500</v>
      </c>
      <c r="O84" s="14"/>
      <c r="P84" s="14"/>
      <c r="Q84" s="14">
        <f t="shared" si="7"/>
        <v>13500</v>
      </c>
    </row>
    <row r="85" spans="1:17">
      <c r="A85" s="3"/>
      <c r="B85" s="3">
        <v>81</v>
      </c>
      <c r="C85" s="4">
        <v>5524</v>
      </c>
      <c r="D85" s="4">
        <v>13500</v>
      </c>
      <c r="E85" s="4">
        <v>11047</v>
      </c>
      <c r="F85" s="4">
        <v>6739</v>
      </c>
      <c r="G85" s="5">
        <v>0</v>
      </c>
      <c r="H85" s="4">
        <v>575173</v>
      </c>
      <c r="I85" s="4">
        <v>581911</v>
      </c>
      <c r="L85" s="15">
        <f t="shared" si="5"/>
        <v>81</v>
      </c>
      <c r="M85" s="13"/>
      <c r="N85" s="14">
        <f t="shared" si="6"/>
        <v>13500</v>
      </c>
      <c r="O85" s="14"/>
      <c r="P85" s="14"/>
      <c r="Q85" s="14">
        <f t="shared" si="7"/>
        <v>13500</v>
      </c>
    </row>
    <row r="86" spans="1:17">
      <c r="A86" s="6"/>
      <c r="B86" s="6">
        <v>82</v>
      </c>
      <c r="C86" s="7">
        <v>5428</v>
      </c>
      <c r="D86" s="7">
        <v>13500</v>
      </c>
      <c r="E86" s="7">
        <v>10855</v>
      </c>
      <c r="F86" s="7">
        <v>6643</v>
      </c>
      <c r="G86" s="8">
        <v>0</v>
      </c>
      <c r="H86" s="7">
        <v>599671</v>
      </c>
      <c r="I86" s="7">
        <v>606314</v>
      </c>
      <c r="L86" s="15">
        <f t="shared" si="5"/>
        <v>82</v>
      </c>
      <c r="M86" s="13"/>
      <c r="N86" s="14">
        <f t="shared" si="6"/>
        <v>13500</v>
      </c>
      <c r="O86" s="14"/>
      <c r="P86" s="14"/>
      <c r="Q86" s="14">
        <f t="shared" si="7"/>
        <v>13500</v>
      </c>
    </row>
    <row r="87" spans="1:17">
      <c r="A87" s="6"/>
      <c r="B87" s="6">
        <v>83</v>
      </c>
      <c r="C87" s="7">
        <v>5338</v>
      </c>
      <c r="D87" s="7">
        <v>13500</v>
      </c>
      <c r="E87" s="7">
        <v>10677</v>
      </c>
      <c r="F87" s="7">
        <v>6566</v>
      </c>
      <c r="G87" s="8">
        <v>0</v>
      </c>
      <c r="H87" s="7">
        <v>625743</v>
      </c>
      <c r="I87" s="7">
        <v>632309</v>
      </c>
      <c r="L87" s="15">
        <f t="shared" si="5"/>
        <v>83</v>
      </c>
      <c r="M87" s="13"/>
      <c r="N87" s="14">
        <f t="shared" si="6"/>
        <v>13500</v>
      </c>
      <c r="O87" s="14"/>
      <c r="P87" s="14"/>
      <c r="Q87" s="14">
        <f t="shared" si="7"/>
        <v>13500</v>
      </c>
    </row>
    <row r="88" spans="1:17">
      <c r="A88" s="6"/>
      <c r="B88" s="6">
        <v>84</v>
      </c>
      <c r="C88" s="7">
        <v>5255</v>
      </c>
      <c r="D88" s="7">
        <v>13500</v>
      </c>
      <c r="E88" s="7">
        <v>10510</v>
      </c>
      <c r="F88" s="7">
        <v>6495</v>
      </c>
      <c r="G88" s="8">
        <v>0</v>
      </c>
      <c r="H88" s="7">
        <v>653507</v>
      </c>
      <c r="I88" s="7">
        <v>660002</v>
      </c>
      <c r="L88" s="15">
        <f t="shared" si="5"/>
        <v>84</v>
      </c>
      <c r="M88" s="13"/>
      <c r="N88" s="14">
        <f t="shared" si="6"/>
        <v>13500</v>
      </c>
      <c r="O88" s="14"/>
      <c r="P88" s="14"/>
      <c r="Q88" s="14">
        <f t="shared" si="7"/>
        <v>13500</v>
      </c>
    </row>
    <row r="89" spans="1:17">
      <c r="A89" s="9"/>
      <c r="B89" s="9">
        <v>85</v>
      </c>
      <c r="C89" s="10">
        <v>5177</v>
      </c>
      <c r="D89" s="10">
        <v>13500</v>
      </c>
      <c r="E89" s="10">
        <v>10355</v>
      </c>
      <c r="F89" s="10">
        <v>6420</v>
      </c>
      <c r="G89" s="11">
        <v>0</v>
      </c>
      <c r="H89" s="10">
        <v>683061</v>
      </c>
      <c r="I89" s="10">
        <v>689481</v>
      </c>
      <c r="L89" s="15">
        <f t="shared" si="5"/>
        <v>85</v>
      </c>
      <c r="M89" s="13"/>
      <c r="N89" s="14">
        <f t="shared" si="6"/>
        <v>13500</v>
      </c>
      <c r="O89" s="14"/>
      <c r="P89" s="14"/>
      <c r="Q89" s="14">
        <f t="shared" si="7"/>
        <v>13500</v>
      </c>
    </row>
    <row r="90" spans="1:17">
      <c r="A90" s="3"/>
      <c r="B90" s="3">
        <v>86</v>
      </c>
      <c r="C90" s="4">
        <v>5105</v>
      </c>
      <c r="D90" s="4">
        <v>13500</v>
      </c>
      <c r="E90" s="4">
        <v>10210</v>
      </c>
      <c r="F90" s="4">
        <v>6361</v>
      </c>
      <c r="G90" s="5">
        <v>0</v>
      </c>
      <c r="H90" s="4">
        <v>714512</v>
      </c>
      <c r="I90" s="4">
        <v>720873</v>
      </c>
      <c r="L90" s="15">
        <f t="shared" si="5"/>
        <v>86</v>
      </c>
      <c r="M90" s="13"/>
      <c r="N90" s="14">
        <f t="shared" si="6"/>
        <v>13500</v>
      </c>
      <c r="O90" s="14"/>
      <c r="P90" s="14"/>
      <c r="Q90" s="14">
        <f t="shared" si="7"/>
        <v>13500</v>
      </c>
    </row>
    <row r="91" spans="1:17">
      <c r="A91" s="6"/>
      <c r="B91" s="6">
        <v>87</v>
      </c>
      <c r="C91" s="7">
        <v>5038</v>
      </c>
      <c r="D91" s="7">
        <v>13500</v>
      </c>
      <c r="E91" s="7">
        <v>10076</v>
      </c>
      <c r="F91" s="7">
        <v>6308</v>
      </c>
      <c r="G91" s="8">
        <v>0</v>
      </c>
      <c r="H91" s="7">
        <v>748008</v>
      </c>
      <c r="I91" s="7">
        <v>754316</v>
      </c>
      <c r="L91" s="15">
        <f t="shared" si="5"/>
        <v>87</v>
      </c>
      <c r="M91" s="13"/>
      <c r="N91" s="14">
        <f t="shared" si="6"/>
        <v>13500</v>
      </c>
      <c r="O91" s="14"/>
      <c r="P91" s="14"/>
      <c r="Q91" s="14">
        <f t="shared" si="7"/>
        <v>13500</v>
      </c>
    </row>
    <row r="92" spans="1:17">
      <c r="A92" s="6"/>
      <c r="B92" s="6">
        <v>88</v>
      </c>
      <c r="C92" s="7">
        <v>4976</v>
      </c>
      <c r="D92" s="7">
        <v>13500</v>
      </c>
      <c r="E92" s="7">
        <v>9952</v>
      </c>
      <c r="F92" s="7">
        <v>6250</v>
      </c>
      <c r="G92" s="8">
        <v>0</v>
      </c>
      <c r="H92" s="7">
        <v>783676</v>
      </c>
      <c r="I92" s="7">
        <v>789926</v>
      </c>
      <c r="L92" s="15">
        <f t="shared" si="5"/>
        <v>88</v>
      </c>
      <c r="M92" s="13"/>
      <c r="N92" s="14">
        <f t="shared" si="6"/>
        <v>13500</v>
      </c>
      <c r="O92" s="14"/>
      <c r="P92" s="14"/>
      <c r="Q92" s="14">
        <f t="shared" si="7"/>
        <v>13500</v>
      </c>
    </row>
    <row r="93" spans="1:17">
      <c r="A93" s="6"/>
      <c r="B93" s="6">
        <v>89</v>
      </c>
      <c r="C93" s="7">
        <v>4918</v>
      </c>
      <c r="D93" s="7">
        <v>13500</v>
      </c>
      <c r="E93" s="7">
        <v>9836</v>
      </c>
      <c r="F93" s="7">
        <v>6207</v>
      </c>
      <c r="G93" s="8">
        <v>0</v>
      </c>
      <c r="H93" s="7">
        <v>821644</v>
      </c>
      <c r="I93" s="7">
        <v>827850</v>
      </c>
      <c r="L93" s="15">
        <f t="shared" si="5"/>
        <v>89</v>
      </c>
      <c r="M93" s="13"/>
      <c r="N93" s="14">
        <f t="shared" si="6"/>
        <v>13500</v>
      </c>
      <c r="O93" s="14"/>
      <c r="P93" s="14"/>
      <c r="Q93" s="14">
        <f t="shared" si="7"/>
        <v>13500</v>
      </c>
    </row>
    <row r="94" spans="1:17">
      <c r="A94" s="9"/>
      <c r="B94" s="9">
        <v>90</v>
      </c>
      <c r="C94" s="10">
        <v>4865</v>
      </c>
      <c r="D94" s="10">
        <v>13500</v>
      </c>
      <c r="E94" s="10">
        <v>9729</v>
      </c>
      <c r="F94" s="10">
        <v>6159</v>
      </c>
      <c r="G94" s="11">
        <v>0</v>
      </c>
      <c r="H94" s="10">
        <v>862077</v>
      </c>
      <c r="I94" s="10">
        <v>868236</v>
      </c>
      <c r="L94" s="15">
        <f t="shared" si="5"/>
        <v>90</v>
      </c>
      <c r="M94" s="13"/>
      <c r="N94" s="14">
        <f t="shared" si="6"/>
        <v>13500</v>
      </c>
      <c r="O94" s="14"/>
      <c r="P94" s="14">
        <f t="shared" ref="P94" si="8">I94</f>
        <v>868236</v>
      </c>
      <c r="Q94" s="14">
        <f t="shared" si="7"/>
        <v>881736</v>
      </c>
    </row>
    <row r="95" spans="1:17">
      <c r="P95" s="16" t="s">
        <v>4</v>
      </c>
      <c r="Q95" s="17">
        <f>IRR(Q4:Q94)</f>
        <v>6.18468854970462E-2</v>
      </c>
    </row>
  </sheetData>
  <mergeCells count="8">
    <mergeCell ref="F1:I1"/>
    <mergeCell ref="G2:H2"/>
    <mergeCell ref="I2:I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ABD16-1BD6-534E-88B4-BEBE0692A560}">
  <dimension ref="A1:T105"/>
  <sheetViews>
    <sheetView workbookViewId="0">
      <selection activeCell="T5" sqref="T5"/>
    </sheetView>
  </sheetViews>
  <sheetFormatPr baseColWidth="10" defaultRowHeight="16"/>
  <sheetData>
    <row r="1" spans="1:20">
      <c r="A1" s="37" t="s">
        <v>6</v>
      </c>
      <c r="B1" s="37" t="s">
        <v>7</v>
      </c>
      <c r="C1" s="38" t="s">
        <v>8</v>
      </c>
      <c r="D1" s="40" t="s">
        <v>22</v>
      </c>
      <c r="E1" s="42" t="s">
        <v>23</v>
      </c>
      <c r="F1" s="28" t="s">
        <v>24</v>
      </c>
      <c r="G1" s="29"/>
      <c r="H1" s="29"/>
      <c r="I1" s="30"/>
    </row>
    <row r="2" spans="1:20">
      <c r="A2" s="35"/>
      <c r="B2" s="35"/>
      <c r="C2" s="39"/>
      <c r="D2" s="41"/>
      <c r="E2" s="43"/>
      <c r="F2" s="1" t="s">
        <v>25</v>
      </c>
      <c r="G2" s="31" t="s">
        <v>12</v>
      </c>
      <c r="H2" s="32"/>
      <c r="I2" s="33" t="s">
        <v>13</v>
      </c>
    </row>
    <row r="3" spans="1:20" ht="30">
      <c r="A3" s="36"/>
      <c r="B3" s="36"/>
      <c r="C3" s="45"/>
      <c r="D3" s="46"/>
      <c r="E3" s="47"/>
      <c r="F3" s="2" t="s">
        <v>17</v>
      </c>
      <c r="G3" s="2" t="s">
        <v>18</v>
      </c>
      <c r="H3" s="2" t="s">
        <v>19</v>
      </c>
      <c r="I3" s="44"/>
      <c r="L3" s="13" t="s">
        <v>5</v>
      </c>
      <c r="M3" s="13" t="s">
        <v>0</v>
      </c>
      <c r="N3" s="13" t="s">
        <v>1</v>
      </c>
      <c r="O3" s="13" t="s">
        <v>26</v>
      </c>
      <c r="P3" s="13" t="s">
        <v>2</v>
      </c>
      <c r="Q3" s="13" t="s">
        <v>3</v>
      </c>
      <c r="T3" t="s">
        <v>28</v>
      </c>
    </row>
    <row r="4" spans="1:20">
      <c r="A4" s="18"/>
      <c r="B4" s="18"/>
      <c r="C4" s="23"/>
      <c r="D4" s="24"/>
      <c r="E4" s="25"/>
      <c r="F4" s="12"/>
      <c r="G4" s="12"/>
      <c r="H4" s="12"/>
      <c r="I4" s="26"/>
      <c r="L4" s="13">
        <v>0</v>
      </c>
      <c r="M4" s="14">
        <f>-C5</f>
        <v>-30000</v>
      </c>
      <c r="N4" s="13"/>
      <c r="O4" s="13"/>
      <c r="P4" s="13"/>
      <c r="Q4" s="14">
        <f>M4+N4+P4+O4</f>
        <v>-30000</v>
      </c>
      <c r="T4" s="27">
        <v>0.12</v>
      </c>
    </row>
    <row r="5" spans="1:20">
      <c r="A5" s="6">
        <f>不提取累积情况!A4</f>
        <v>68</v>
      </c>
      <c r="B5" s="3">
        <v>1</v>
      </c>
      <c r="C5" s="4">
        <v>30000</v>
      </c>
      <c r="D5" s="5">
        <v>0</v>
      </c>
      <c r="E5" s="4">
        <v>306436</v>
      </c>
      <c r="F5" s="5">
        <v>31</v>
      </c>
      <c r="G5" s="5">
        <v>0</v>
      </c>
      <c r="H5" s="5">
        <v>0</v>
      </c>
      <c r="I5" s="5">
        <v>31</v>
      </c>
      <c r="L5" s="15">
        <f>B5</f>
        <v>1</v>
      </c>
      <c r="M5" s="14">
        <f>M4</f>
        <v>-30000</v>
      </c>
      <c r="N5" s="13"/>
      <c r="O5" s="13">
        <f>C5*T4</f>
        <v>3600</v>
      </c>
      <c r="P5" s="13"/>
      <c r="Q5" s="14">
        <f t="shared" ref="Q5:Q61" si="0">M5+N5+P5+O5</f>
        <v>-26400</v>
      </c>
    </row>
    <row r="6" spans="1:20">
      <c r="A6" s="6">
        <f>不提取累积情况!A5</f>
        <v>69</v>
      </c>
      <c r="B6" s="6">
        <v>2</v>
      </c>
      <c r="C6" s="7">
        <v>60000</v>
      </c>
      <c r="D6" s="8">
        <v>0</v>
      </c>
      <c r="E6" s="7">
        <v>306436</v>
      </c>
      <c r="F6" s="8">
        <v>31</v>
      </c>
      <c r="G6" s="8">
        <v>0</v>
      </c>
      <c r="H6" s="8">
        <v>0</v>
      </c>
      <c r="I6" s="8">
        <v>31</v>
      </c>
      <c r="L6" s="15">
        <f>B6</f>
        <v>2</v>
      </c>
      <c r="M6" s="14">
        <f t="shared" ref="M6:M8" si="1">M5</f>
        <v>-30000</v>
      </c>
      <c r="N6" s="13"/>
      <c r="O6" s="13"/>
      <c r="P6" s="13"/>
      <c r="Q6" s="14">
        <f t="shared" si="0"/>
        <v>-30000</v>
      </c>
    </row>
    <row r="7" spans="1:20">
      <c r="A7" s="6">
        <f>不提取累积情况!A6</f>
        <v>70</v>
      </c>
      <c r="B7" s="6">
        <v>3</v>
      </c>
      <c r="C7" s="7">
        <v>90000</v>
      </c>
      <c r="D7" s="8">
        <v>0</v>
      </c>
      <c r="E7" s="7">
        <v>306436</v>
      </c>
      <c r="F7" s="7">
        <v>7967</v>
      </c>
      <c r="G7" s="7">
        <v>2482</v>
      </c>
      <c r="H7" s="7">
        <v>4634</v>
      </c>
      <c r="I7" s="7">
        <v>15083</v>
      </c>
      <c r="L7" s="15">
        <f t="shared" ref="L7:L61" si="2">B7</f>
        <v>3</v>
      </c>
      <c r="M7" s="14">
        <f t="shared" si="1"/>
        <v>-30000</v>
      </c>
      <c r="N7" s="13"/>
      <c r="O7" s="13"/>
      <c r="P7" s="13"/>
      <c r="Q7" s="14">
        <f t="shared" si="0"/>
        <v>-30000</v>
      </c>
    </row>
    <row r="8" spans="1:20">
      <c r="A8" s="6">
        <f>不提取累积情况!A7</f>
        <v>71</v>
      </c>
      <c r="B8" s="6">
        <v>4</v>
      </c>
      <c r="C8" s="7">
        <v>120000</v>
      </c>
      <c r="D8" s="8">
        <v>0</v>
      </c>
      <c r="E8" s="7">
        <v>306436</v>
      </c>
      <c r="F8" s="7">
        <v>22370</v>
      </c>
      <c r="G8" s="7">
        <v>5001</v>
      </c>
      <c r="H8" s="7">
        <v>10277</v>
      </c>
      <c r="I8" s="7">
        <v>37649</v>
      </c>
      <c r="L8" s="15">
        <f t="shared" si="2"/>
        <v>4</v>
      </c>
      <c r="M8" s="14">
        <f t="shared" si="1"/>
        <v>-30000</v>
      </c>
      <c r="N8" s="13"/>
      <c r="O8" s="13"/>
      <c r="P8" s="13"/>
      <c r="Q8" s="14">
        <f t="shared" si="0"/>
        <v>-30000</v>
      </c>
    </row>
    <row r="9" spans="1:20">
      <c r="A9" s="9">
        <f>不提取累积情况!A8</f>
        <v>72</v>
      </c>
      <c r="B9" s="9">
        <v>5</v>
      </c>
      <c r="C9" s="10">
        <v>150000</v>
      </c>
      <c r="D9" s="11">
        <v>0</v>
      </c>
      <c r="E9" s="10">
        <v>306436</v>
      </c>
      <c r="F9" s="10">
        <v>42288</v>
      </c>
      <c r="G9" s="10">
        <v>7559</v>
      </c>
      <c r="H9" s="10">
        <v>20410</v>
      </c>
      <c r="I9" s="10">
        <v>70256</v>
      </c>
      <c r="L9" s="15">
        <f t="shared" si="2"/>
        <v>5</v>
      </c>
      <c r="M9" s="13"/>
      <c r="N9" s="13"/>
      <c r="O9" s="13"/>
      <c r="P9" s="13"/>
      <c r="Q9" s="14">
        <f t="shared" si="0"/>
        <v>0</v>
      </c>
    </row>
    <row r="10" spans="1:20">
      <c r="A10" s="6">
        <f>不提取累积情况!A9</f>
        <v>73</v>
      </c>
      <c r="B10" s="3">
        <v>6</v>
      </c>
      <c r="C10" s="4">
        <v>150000</v>
      </c>
      <c r="D10" s="5">
        <v>0</v>
      </c>
      <c r="E10" s="4">
        <v>306436</v>
      </c>
      <c r="F10" s="4">
        <v>55771</v>
      </c>
      <c r="G10" s="4">
        <v>10154</v>
      </c>
      <c r="H10" s="4">
        <v>65534</v>
      </c>
      <c r="I10" s="4">
        <v>131460</v>
      </c>
      <c r="L10" s="15">
        <f t="shared" si="2"/>
        <v>6</v>
      </c>
      <c r="M10" s="13"/>
      <c r="N10" s="14">
        <f t="shared" ref="N10:N11" si="3">D10</f>
        <v>0</v>
      </c>
      <c r="O10" s="14"/>
      <c r="P10" s="13"/>
      <c r="Q10" s="14">
        <f t="shared" si="0"/>
        <v>0</v>
      </c>
    </row>
    <row r="11" spans="1:20">
      <c r="A11" s="6">
        <f>不提取累积情况!A10</f>
        <v>74</v>
      </c>
      <c r="B11" s="6">
        <v>7</v>
      </c>
      <c r="C11" s="7">
        <v>150000</v>
      </c>
      <c r="D11" s="8">
        <v>0</v>
      </c>
      <c r="E11" s="7">
        <v>306436</v>
      </c>
      <c r="F11" s="7">
        <v>68948</v>
      </c>
      <c r="G11" s="7">
        <v>12789</v>
      </c>
      <c r="H11" s="7">
        <v>69272</v>
      </c>
      <c r="I11" s="7">
        <v>151008</v>
      </c>
      <c r="L11" s="15">
        <f t="shared" si="2"/>
        <v>7</v>
      </c>
      <c r="M11" s="13"/>
      <c r="N11" s="14">
        <f t="shared" si="3"/>
        <v>0</v>
      </c>
      <c r="O11" s="14"/>
      <c r="P11" s="13"/>
      <c r="Q11" s="14">
        <f t="shared" si="0"/>
        <v>0</v>
      </c>
    </row>
    <row r="12" spans="1:20">
      <c r="A12" s="6">
        <f>不提取累积情况!A11</f>
        <v>75</v>
      </c>
      <c r="B12" s="6">
        <v>8</v>
      </c>
      <c r="C12" s="7">
        <v>150000</v>
      </c>
      <c r="D12" s="8">
        <v>0</v>
      </c>
      <c r="E12" s="7">
        <v>306436</v>
      </c>
      <c r="F12" s="7">
        <v>88866</v>
      </c>
      <c r="G12" s="7">
        <v>15463</v>
      </c>
      <c r="H12" s="7">
        <v>69852</v>
      </c>
      <c r="I12" s="7">
        <v>174181</v>
      </c>
      <c r="L12" s="15">
        <f t="shared" si="2"/>
        <v>8</v>
      </c>
      <c r="M12" s="13"/>
      <c r="N12" s="14">
        <f>D12</f>
        <v>0</v>
      </c>
      <c r="O12" s="14"/>
      <c r="P12" s="13"/>
      <c r="Q12" s="14">
        <f t="shared" si="0"/>
        <v>0</v>
      </c>
    </row>
    <row r="13" spans="1:20">
      <c r="A13" s="6">
        <f>不提取累积情况!A12</f>
        <v>76</v>
      </c>
      <c r="B13" s="6">
        <v>9</v>
      </c>
      <c r="C13" s="7">
        <v>150000</v>
      </c>
      <c r="D13" s="8">
        <v>0</v>
      </c>
      <c r="E13" s="7">
        <v>306436</v>
      </c>
      <c r="F13" s="7">
        <v>91624</v>
      </c>
      <c r="G13" s="7">
        <v>18177</v>
      </c>
      <c r="H13" s="7">
        <v>76284</v>
      </c>
      <c r="I13" s="7">
        <v>186085</v>
      </c>
      <c r="L13" s="15">
        <f t="shared" si="2"/>
        <v>9</v>
      </c>
      <c r="M13" s="13"/>
      <c r="N13" s="14">
        <f t="shared" ref="N13:N61" si="4">D13</f>
        <v>0</v>
      </c>
      <c r="O13" s="14"/>
      <c r="P13" s="13"/>
      <c r="Q13" s="14">
        <f t="shared" si="0"/>
        <v>0</v>
      </c>
    </row>
    <row r="14" spans="1:20">
      <c r="A14" s="9">
        <f>不提取累积情况!A13</f>
        <v>77</v>
      </c>
      <c r="B14" s="9">
        <v>10</v>
      </c>
      <c r="C14" s="10">
        <v>150000</v>
      </c>
      <c r="D14" s="11">
        <v>0</v>
      </c>
      <c r="E14" s="10">
        <v>306436</v>
      </c>
      <c r="F14" s="10">
        <v>94076</v>
      </c>
      <c r="G14" s="10">
        <v>18745</v>
      </c>
      <c r="H14" s="10">
        <v>83897</v>
      </c>
      <c r="I14" s="10">
        <v>196717</v>
      </c>
      <c r="L14" s="15">
        <f t="shared" si="2"/>
        <v>10</v>
      </c>
      <c r="M14" s="13"/>
      <c r="N14" s="14">
        <f t="shared" si="4"/>
        <v>0</v>
      </c>
      <c r="O14" s="14"/>
      <c r="P14" s="13"/>
      <c r="Q14" s="14">
        <f t="shared" si="0"/>
        <v>0</v>
      </c>
    </row>
    <row r="15" spans="1:20">
      <c r="A15" s="6">
        <f>不提取累积情况!A14</f>
        <v>78</v>
      </c>
      <c r="B15" s="3">
        <v>11</v>
      </c>
      <c r="C15" s="4">
        <v>150000</v>
      </c>
      <c r="D15" s="4">
        <v>10000</v>
      </c>
      <c r="E15" s="4">
        <v>306436</v>
      </c>
      <c r="F15" s="4">
        <v>97140</v>
      </c>
      <c r="G15" s="4">
        <v>11574</v>
      </c>
      <c r="H15" s="4">
        <v>92223</v>
      </c>
      <c r="I15" s="4">
        <v>200938</v>
      </c>
      <c r="L15" s="15">
        <f t="shared" si="2"/>
        <v>11</v>
      </c>
      <c r="M15" s="13"/>
      <c r="N15" s="14">
        <f t="shared" si="4"/>
        <v>10000</v>
      </c>
      <c r="O15" s="14"/>
      <c r="P15" s="13"/>
      <c r="Q15" s="14">
        <f t="shared" si="0"/>
        <v>10000</v>
      </c>
    </row>
    <row r="16" spans="1:20">
      <c r="A16" s="6">
        <f>不提取累积情况!A15</f>
        <v>79</v>
      </c>
      <c r="B16" s="6">
        <v>12</v>
      </c>
      <c r="C16" s="7">
        <v>150000</v>
      </c>
      <c r="D16" s="7">
        <v>10200</v>
      </c>
      <c r="E16" s="7">
        <v>306436</v>
      </c>
      <c r="F16" s="7">
        <v>99898</v>
      </c>
      <c r="G16" s="7">
        <v>4282</v>
      </c>
      <c r="H16" s="7">
        <v>100983</v>
      </c>
      <c r="I16" s="7">
        <v>205164</v>
      </c>
      <c r="L16" s="15">
        <f t="shared" si="2"/>
        <v>12</v>
      </c>
      <c r="M16" s="13"/>
      <c r="N16" s="14">
        <f t="shared" si="4"/>
        <v>10200</v>
      </c>
      <c r="O16" s="14"/>
      <c r="P16" s="13"/>
      <c r="Q16" s="14">
        <f t="shared" si="0"/>
        <v>10200</v>
      </c>
    </row>
    <row r="17" spans="1:17">
      <c r="A17" s="6">
        <f>不提取累积情况!A16</f>
        <v>80</v>
      </c>
      <c r="B17" s="6">
        <v>13</v>
      </c>
      <c r="C17" s="7">
        <v>147012</v>
      </c>
      <c r="D17" s="7">
        <v>10404</v>
      </c>
      <c r="E17" s="7">
        <v>300331</v>
      </c>
      <c r="F17" s="7">
        <v>100911</v>
      </c>
      <c r="G17" s="8">
        <v>0</v>
      </c>
      <c r="H17" s="7">
        <v>108720</v>
      </c>
      <c r="I17" s="7">
        <v>209631</v>
      </c>
      <c r="L17" s="15">
        <f t="shared" si="2"/>
        <v>13</v>
      </c>
      <c r="M17" s="13"/>
      <c r="N17" s="14">
        <f t="shared" si="4"/>
        <v>10404</v>
      </c>
      <c r="O17" s="14"/>
      <c r="P17" s="13"/>
      <c r="Q17" s="14">
        <f t="shared" si="0"/>
        <v>10404</v>
      </c>
    </row>
    <row r="18" spans="1:17">
      <c r="A18" s="6">
        <f>不提取累积情况!A17</f>
        <v>81</v>
      </c>
      <c r="B18" s="6">
        <v>14</v>
      </c>
      <c r="C18" s="7">
        <v>140196</v>
      </c>
      <c r="D18" s="7">
        <v>10612</v>
      </c>
      <c r="E18" s="7">
        <v>286406</v>
      </c>
      <c r="F18" s="7">
        <v>99097</v>
      </c>
      <c r="G18" s="8">
        <v>0</v>
      </c>
      <c r="H18" s="7">
        <v>115708</v>
      </c>
      <c r="I18" s="7">
        <v>214805</v>
      </c>
      <c r="L18" s="15">
        <f t="shared" si="2"/>
        <v>14</v>
      </c>
      <c r="M18" s="13"/>
      <c r="N18" s="14">
        <f t="shared" si="4"/>
        <v>10612</v>
      </c>
      <c r="O18" s="14"/>
      <c r="P18" s="13"/>
      <c r="Q18" s="14">
        <f t="shared" si="0"/>
        <v>10612</v>
      </c>
    </row>
    <row r="19" spans="1:17">
      <c r="A19" s="9">
        <f>不提取累积情况!A18</f>
        <v>82</v>
      </c>
      <c r="B19" s="9">
        <v>15</v>
      </c>
      <c r="C19" s="10">
        <v>133715</v>
      </c>
      <c r="D19" s="10">
        <v>10824</v>
      </c>
      <c r="E19" s="10">
        <v>273167</v>
      </c>
      <c r="F19" s="10">
        <v>97247</v>
      </c>
      <c r="G19" s="11">
        <v>0</v>
      </c>
      <c r="H19" s="10">
        <v>122652</v>
      </c>
      <c r="I19" s="10">
        <v>219899</v>
      </c>
      <c r="L19" s="15">
        <f t="shared" si="2"/>
        <v>15</v>
      </c>
      <c r="M19" s="13"/>
      <c r="N19" s="14">
        <f t="shared" si="4"/>
        <v>10824</v>
      </c>
      <c r="O19" s="14"/>
      <c r="P19" s="13"/>
      <c r="Q19" s="14">
        <f t="shared" si="0"/>
        <v>10824</v>
      </c>
    </row>
    <row r="20" spans="1:17">
      <c r="A20" s="6">
        <f>不提取累积情况!A19</f>
        <v>83</v>
      </c>
      <c r="B20" s="3">
        <v>16</v>
      </c>
      <c r="C20" s="4">
        <v>127580</v>
      </c>
      <c r="D20" s="4">
        <v>11041</v>
      </c>
      <c r="E20" s="4">
        <v>260634</v>
      </c>
      <c r="F20" s="4">
        <v>99041</v>
      </c>
      <c r="G20" s="5">
        <v>0</v>
      </c>
      <c r="H20" s="4">
        <v>127189</v>
      </c>
      <c r="I20" s="4">
        <v>226230</v>
      </c>
      <c r="L20" s="15">
        <f t="shared" si="2"/>
        <v>16</v>
      </c>
      <c r="M20" s="13"/>
      <c r="N20" s="14">
        <f t="shared" si="4"/>
        <v>11041</v>
      </c>
      <c r="O20" s="14"/>
      <c r="P20" s="13"/>
      <c r="Q20" s="14">
        <f t="shared" si="0"/>
        <v>11041</v>
      </c>
    </row>
    <row r="21" spans="1:17">
      <c r="A21" s="6">
        <f>不提取累积情况!A20</f>
        <v>84</v>
      </c>
      <c r="B21" s="6">
        <v>17</v>
      </c>
      <c r="C21" s="7">
        <v>122147</v>
      </c>
      <c r="D21" s="7">
        <v>11262</v>
      </c>
      <c r="E21" s="7">
        <v>248772</v>
      </c>
      <c r="F21" s="7">
        <v>100753</v>
      </c>
      <c r="G21" s="8">
        <v>0</v>
      </c>
      <c r="H21" s="7">
        <v>132098</v>
      </c>
      <c r="I21" s="7">
        <v>232851</v>
      </c>
      <c r="L21" s="15">
        <f t="shared" si="2"/>
        <v>17</v>
      </c>
      <c r="M21" s="13"/>
      <c r="N21" s="14">
        <f t="shared" si="4"/>
        <v>11262</v>
      </c>
      <c r="O21" s="14"/>
      <c r="P21" s="13"/>
      <c r="Q21" s="14">
        <f t="shared" si="0"/>
        <v>11262</v>
      </c>
    </row>
    <row r="22" spans="1:17">
      <c r="A22" s="6">
        <f>不提取累积情况!A21</f>
        <v>85</v>
      </c>
      <c r="B22" s="6">
        <v>18</v>
      </c>
      <c r="C22" s="7">
        <v>116696</v>
      </c>
      <c r="D22" s="7">
        <v>11487</v>
      </c>
      <c r="E22" s="7">
        <v>237671</v>
      </c>
      <c r="F22" s="7">
        <v>116221</v>
      </c>
      <c r="G22" s="8">
        <v>0</v>
      </c>
      <c r="H22" s="7">
        <v>126441</v>
      </c>
      <c r="I22" s="7">
        <v>242662</v>
      </c>
      <c r="L22" s="15">
        <f t="shared" si="2"/>
        <v>18</v>
      </c>
      <c r="M22" s="13"/>
      <c r="N22" s="14">
        <f t="shared" si="4"/>
        <v>11487</v>
      </c>
      <c r="O22" s="14"/>
      <c r="P22" s="13"/>
      <c r="Q22" s="14">
        <f t="shared" si="0"/>
        <v>11487</v>
      </c>
    </row>
    <row r="23" spans="1:17">
      <c r="A23" s="6">
        <f>不提取累积情况!A22</f>
        <v>86</v>
      </c>
      <c r="B23" s="6">
        <v>19</v>
      </c>
      <c r="C23" s="7">
        <v>111539</v>
      </c>
      <c r="D23" s="7">
        <v>11717</v>
      </c>
      <c r="E23" s="7">
        <v>227168</v>
      </c>
      <c r="F23" s="7">
        <v>111994</v>
      </c>
      <c r="G23" s="8">
        <v>0</v>
      </c>
      <c r="H23" s="7">
        <v>138118</v>
      </c>
      <c r="I23" s="7">
        <v>250112</v>
      </c>
      <c r="L23" s="15">
        <f t="shared" si="2"/>
        <v>19</v>
      </c>
      <c r="M23" s="13"/>
      <c r="N23" s="14">
        <f t="shared" si="4"/>
        <v>11717</v>
      </c>
      <c r="O23" s="14"/>
      <c r="P23" s="13"/>
      <c r="Q23" s="14">
        <f t="shared" si="0"/>
        <v>11717</v>
      </c>
    </row>
    <row r="24" spans="1:17">
      <c r="A24" s="9">
        <f>不提取累积情况!A23</f>
        <v>87</v>
      </c>
      <c r="B24" s="9">
        <v>20</v>
      </c>
      <c r="C24" s="10">
        <v>106639</v>
      </c>
      <c r="D24" s="10">
        <v>11951</v>
      </c>
      <c r="E24" s="10">
        <v>217187</v>
      </c>
      <c r="F24" s="10">
        <v>107290</v>
      </c>
      <c r="G24" s="11">
        <v>0</v>
      </c>
      <c r="H24" s="10">
        <v>149424</v>
      </c>
      <c r="I24" s="10">
        <v>256714</v>
      </c>
      <c r="L24" s="15">
        <f t="shared" si="2"/>
        <v>20</v>
      </c>
      <c r="M24" s="13"/>
      <c r="N24" s="14">
        <f t="shared" si="4"/>
        <v>11951</v>
      </c>
      <c r="O24" s="14"/>
      <c r="P24" s="13"/>
      <c r="Q24" s="14">
        <f t="shared" si="0"/>
        <v>11951</v>
      </c>
    </row>
    <row r="25" spans="1:17">
      <c r="A25" s="6">
        <f>不提取累积情况!A24</f>
        <v>88</v>
      </c>
      <c r="B25" s="3">
        <v>21</v>
      </c>
      <c r="C25" s="4">
        <v>102065</v>
      </c>
      <c r="D25" s="4">
        <v>12190</v>
      </c>
      <c r="E25" s="4">
        <v>207872</v>
      </c>
      <c r="F25" s="4">
        <v>102897</v>
      </c>
      <c r="G25" s="5">
        <v>0</v>
      </c>
      <c r="H25" s="4">
        <v>165674</v>
      </c>
      <c r="I25" s="4">
        <v>268571</v>
      </c>
      <c r="L25" s="15">
        <f t="shared" si="2"/>
        <v>21</v>
      </c>
      <c r="M25" s="13"/>
      <c r="N25" s="14">
        <f t="shared" si="4"/>
        <v>12190</v>
      </c>
      <c r="O25" s="14"/>
      <c r="P25" s="13"/>
      <c r="Q25" s="14">
        <f t="shared" si="0"/>
        <v>12190</v>
      </c>
    </row>
    <row r="26" spans="1:17">
      <c r="A26" s="6">
        <f>不提取累积情况!A25</f>
        <v>89</v>
      </c>
      <c r="B26" s="6">
        <v>22</v>
      </c>
      <c r="C26" s="7">
        <v>97785</v>
      </c>
      <c r="D26" s="7">
        <v>12434</v>
      </c>
      <c r="E26" s="7">
        <v>199154</v>
      </c>
      <c r="F26" s="7">
        <v>98781</v>
      </c>
      <c r="G26" s="8">
        <v>0</v>
      </c>
      <c r="H26" s="7">
        <v>181629</v>
      </c>
      <c r="I26" s="7">
        <v>280409</v>
      </c>
      <c r="L26" s="15">
        <f t="shared" si="2"/>
        <v>22</v>
      </c>
      <c r="M26" s="13"/>
      <c r="N26" s="14">
        <f t="shared" si="4"/>
        <v>12434</v>
      </c>
      <c r="O26" s="14"/>
      <c r="P26" s="13"/>
      <c r="Q26" s="14">
        <f t="shared" si="0"/>
        <v>12434</v>
      </c>
    </row>
    <row r="27" spans="1:17">
      <c r="A27" s="6">
        <f>不提取累积情况!A26</f>
        <v>90</v>
      </c>
      <c r="B27" s="6">
        <v>23</v>
      </c>
      <c r="C27" s="7">
        <v>93785</v>
      </c>
      <c r="D27" s="7">
        <v>12682</v>
      </c>
      <c r="E27" s="7">
        <v>191009</v>
      </c>
      <c r="F27" s="7">
        <v>94931</v>
      </c>
      <c r="G27" s="8">
        <v>0</v>
      </c>
      <c r="H27" s="7">
        <v>198649</v>
      </c>
      <c r="I27" s="7">
        <v>293581</v>
      </c>
      <c r="L27" s="15">
        <f t="shared" si="2"/>
        <v>23</v>
      </c>
      <c r="M27" s="13"/>
      <c r="N27" s="14">
        <f t="shared" si="4"/>
        <v>12682</v>
      </c>
      <c r="O27" s="14"/>
      <c r="P27" s="13"/>
      <c r="Q27" s="14">
        <f t="shared" si="0"/>
        <v>12682</v>
      </c>
    </row>
    <row r="28" spans="1:17">
      <c r="A28" s="6">
        <f>不提取累积情况!A27</f>
        <v>91</v>
      </c>
      <c r="B28" s="6">
        <v>24</v>
      </c>
      <c r="C28" s="7">
        <v>90003</v>
      </c>
      <c r="D28" s="7">
        <v>12936</v>
      </c>
      <c r="E28" s="7">
        <v>183306</v>
      </c>
      <c r="F28" s="7">
        <v>91287</v>
      </c>
      <c r="G28" s="8">
        <v>0</v>
      </c>
      <c r="H28" s="7">
        <v>212635</v>
      </c>
      <c r="I28" s="7">
        <v>303922</v>
      </c>
      <c r="L28" s="15">
        <f t="shared" si="2"/>
        <v>24</v>
      </c>
      <c r="M28" s="13"/>
      <c r="N28" s="14">
        <f t="shared" si="4"/>
        <v>12936</v>
      </c>
      <c r="O28" s="14"/>
      <c r="P28" s="13"/>
      <c r="Q28" s="14">
        <f t="shared" si="0"/>
        <v>12936</v>
      </c>
    </row>
    <row r="29" spans="1:17">
      <c r="A29" s="9">
        <f>不提取累积情况!A28</f>
        <v>92</v>
      </c>
      <c r="B29" s="9">
        <v>25</v>
      </c>
      <c r="C29" s="10">
        <v>86428</v>
      </c>
      <c r="D29" s="10">
        <v>13195</v>
      </c>
      <c r="E29" s="10">
        <v>176025</v>
      </c>
      <c r="F29" s="10">
        <v>87836</v>
      </c>
      <c r="G29" s="11">
        <v>0</v>
      </c>
      <c r="H29" s="10">
        <v>227072</v>
      </c>
      <c r="I29" s="10">
        <v>314908</v>
      </c>
      <c r="L29" s="15">
        <f t="shared" si="2"/>
        <v>25</v>
      </c>
      <c r="M29" s="13"/>
      <c r="N29" s="14">
        <f t="shared" si="4"/>
        <v>13195</v>
      </c>
      <c r="O29" s="14"/>
      <c r="P29" s="13"/>
      <c r="Q29" s="14">
        <f t="shared" si="0"/>
        <v>13195</v>
      </c>
    </row>
    <row r="30" spans="1:17">
      <c r="A30" s="6">
        <f>不提取累积情况!A29</f>
        <v>93</v>
      </c>
      <c r="B30" s="3">
        <v>26</v>
      </c>
      <c r="C30" s="4">
        <v>83046</v>
      </c>
      <c r="D30" s="4">
        <v>13459</v>
      </c>
      <c r="E30" s="4">
        <v>169136</v>
      </c>
      <c r="F30" s="4">
        <v>84568</v>
      </c>
      <c r="G30" s="5">
        <v>0</v>
      </c>
      <c r="H30" s="4">
        <v>241695</v>
      </c>
      <c r="I30" s="4">
        <v>326263</v>
      </c>
      <c r="L30" s="15">
        <f t="shared" si="2"/>
        <v>26</v>
      </c>
      <c r="M30" s="13"/>
      <c r="N30" s="14">
        <f t="shared" si="4"/>
        <v>13459</v>
      </c>
      <c r="O30" s="14"/>
      <c r="P30" s="13"/>
      <c r="Q30" s="14">
        <f t="shared" si="0"/>
        <v>13459</v>
      </c>
    </row>
    <row r="31" spans="1:17">
      <c r="A31" s="6">
        <f>不提取累积情况!A30</f>
        <v>94</v>
      </c>
      <c r="B31" s="6">
        <v>27</v>
      </c>
      <c r="C31" s="7">
        <v>79842</v>
      </c>
      <c r="D31" s="7">
        <v>13728</v>
      </c>
      <c r="E31" s="7">
        <v>162610</v>
      </c>
      <c r="F31" s="7">
        <v>81468</v>
      </c>
      <c r="G31" s="8">
        <v>0</v>
      </c>
      <c r="H31" s="7">
        <v>256274</v>
      </c>
      <c r="I31" s="7">
        <v>337742</v>
      </c>
      <c r="L31" s="15">
        <f t="shared" si="2"/>
        <v>27</v>
      </c>
      <c r="M31" s="13"/>
      <c r="N31" s="14">
        <f t="shared" si="4"/>
        <v>13728</v>
      </c>
      <c r="O31" s="14"/>
      <c r="P31" s="13"/>
      <c r="Q31" s="14">
        <f t="shared" si="0"/>
        <v>13728</v>
      </c>
    </row>
    <row r="32" spans="1:17">
      <c r="A32" s="6">
        <f>不提取累积情况!A31</f>
        <v>95</v>
      </c>
      <c r="B32" s="6">
        <v>28</v>
      </c>
      <c r="C32" s="7">
        <v>76780</v>
      </c>
      <c r="D32" s="7">
        <v>14002</v>
      </c>
      <c r="E32" s="7">
        <v>156374</v>
      </c>
      <c r="F32" s="7">
        <v>78500</v>
      </c>
      <c r="G32" s="8">
        <v>0</v>
      </c>
      <c r="H32" s="7">
        <v>268182</v>
      </c>
      <c r="I32" s="7">
        <v>346682</v>
      </c>
      <c r="L32" s="15">
        <f t="shared" si="2"/>
        <v>28</v>
      </c>
      <c r="M32" s="13"/>
      <c r="N32" s="14">
        <f t="shared" si="4"/>
        <v>14002</v>
      </c>
      <c r="O32" s="14"/>
      <c r="P32" s="13"/>
      <c r="Q32" s="14">
        <f t="shared" si="0"/>
        <v>14002</v>
      </c>
    </row>
    <row r="33" spans="1:17">
      <c r="A33" s="6">
        <f>不提取累积情况!A32</f>
        <v>96</v>
      </c>
      <c r="B33" s="6">
        <v>29</v>
      </c>
      <c r="C33" s="7">
        <v>73847</v>
      </c>
      <c r="D33" s="7">
        <v>14282</v>
      </c>
      <c r="E33" s="7">
        <v>150401</v>
      </c>
      <c r="F33" s="7">
        <v>75652</v>
      </c>
      <c r="G33" s="8">
        <v>0</v>
      </c>
      <c r="H33" s="7">
        <v>279445</v>
      </c>
      <c r="I33" s="7">
        <v>355096</v>
      </c>
      <c r="L33" s="15">
        <f t="shared" si="2"/>
        <v>29</v>
      </c>
      <c r="M33" s="13"/>
      <c r="N33" s="14">
        <f t="shared" si="4"/>
        <v>14282</v>
      </c>
      <c r="O33" s="14"/>
      <c r="P33" s="13"/>
      <c r="Q33" s="14">
        <f t="shared" si="0"/>
        <v>14282</v>
      </c>
    </row>
    <row r="34" spans="1:17">
      <c r="A34" s="6">
        <f>不提取累积情况!A33</f>
        <v>97</v>
      </c>
      <c r="B34" s="9">
        <v>30</v>
      </c>
      <c r="C34" s="10">
        <v>71304</v>
      </c>
      <c r="D34" s="10">
        <v>14568</v>
      </c>
      <c r="E34" s="10">
        <v>144780</v>
      </c>
      <c r="F34" s="10">
        <v>72969</v>
      </c>
      <c r="G34" s="11">
        <v>0</v>
      </c>
      <c r="H34" s="10">
        <v>297523</v>
      </c>
      <c r="I34" s="10">
        <v>370492</v>
      </c>
      <c r="L34" s="15">
        <f t="shared" si="2"/>
        <v>30</v>
      </c>
      <c r="M34" s="13"/>
      <c r="N34" s="14">
        <f t="shared" si="4"/>
        <v>14568</v>
      </c>
      <c r="O34" s="14"/>
      <c r="P34" s="13"/>
      <c r="Q34" s="14">
        <f t="shared" si="0"/>
        <v>14568</v>
      </c>
    </row>
    <row r="35" spans="1:17">
      <c r="A35" s="6">
        <f>不提取累积情况!A34</f>
        <v>98</v>
      </c>
      <c r="B35" s="3">
        <v>31</v>
      </c>
      <c r="C35" s="4">
        <v>68647</v>
      </c>
      <c r="D35" s="4">
        <v>14859</v>
      </c>
      <c r="E35" s="4">
        <v>139385</v>
      </c>
      <c r="F35" s="4">
        <v>70390</v>
      </c>
      <c r="G35" s="5">
        <v>0</v>
      </c>
      <c r="H35" s="4">
        <v>308739</v>
      </c>
      <c r="I35" s="4">
        <v>379128</v>
      </c>
      <c r="L35" s="15">
        <f t="shared" si="2"/>
        <v>31</v>
      </c>
      <c r="M35" s="13"/>
      <c r="N35" s="14">
        <f t="shared" si="4"/>
        <v>14859</v>
      </c>
      <c r="O35" s="14"/>
      <c r="P35" s="13"/>
      <c r="Q35" s="14">
        <f t="shared" si="0"/>
        <v>14859</v>
      </c>
    </row>
    <row r="36" spans="1:17">
      <c r="A36" s="6">
        <f>不提取累积情况!A35</f>
        <v>99</v>
      </c>
      <c r="B36" s="6">
        <v>32</v>
      </c>
      <c r="C36" s="7">
        <v>66097</v>
      </c>
      <c r="D36" s="7">
        <v>15157</v>
      </c>
      <c r="E36" s="7">
        <v>134206</v>
      </c>
      <c r="F36" s="7">
        <v>67908</v>
      </c>
      <c r="G36" s="8">
        <v>0</v>
      </c>
      <c r="H36" s="7">
        <v>319947</v>
      </c>
      <c r="I36" s="7">
        <v>387855</v>
      </c>
      <c r="L36" s="15">
        <f t="shared" si="2"/>
        <v>32</v>
      </c>
      <c r="M36" s="13"/>
      <c r="N36" s="14">
        <f t="shared" si="4"/>
        <v>15157</v>
      </c>
      <c r="O36" s="14"/>
      <c r="P36" s="13"/>
      <c r="Q36" s="14">
        <f t="shared" si="0"/>
        <v>15157</v>
      </c>
    </row>
    <row r="37" spans="1:17">
      <c r="A37" s="6">
        <f>不提取累积情况!A36</f>
        <v>100</v>
      </c>
      <c r="B37" s="6">
        <v>33</v>
      </c>
      <c r="C37" s="7">
        <v>63649</v>
      </c>
      <c r="D37" s="7">
        <v>15460</v>
      </c>
      <c r="E37" s="7">
        <v>129237</v>
      </c>
      <c r="F37" s="7">
        <v>65782</v>
      </c>
      <c r="G37" s="8">
        <v>0</v>
      </c>
      <c r="H37" s="7">
        <v>331365</v>
      </c>
      <c r="I37" s="7">
        <v>397147</v>
      </c>
      <c r="L37" s="15">
        <f t="shared" si="2"/>
        <v>33</v>
      </c>
      <c r="M37" s="13"/>
      <c r="N37" s="14">
        <f t="shared" si="4"/>
        <v>15460</v>
      </c>
      <c r="O37" s="14"/>
      <c r="P37" s="13"/>
      <c r="Q37" s="14">
        <f t="shared" si="0"/>
        <v>15460</v>
      </c>
    </row>
    <row r="38" spans="1:17">
      <c r="A38" s="6"/>
      <c r="B38" s="6">
        <v>34</v>
      </c>
      <c r="C38" s="7">
        <v>61302</v>
      </c>
      <c r="D38" s="7">
        <v>15769</v>
      </c>
      <c r="E38" s="7">
        <v>124470</v>
      </c>
      <c r="F38" s="7">
        <v>63729</v>
      </c>
      <c r="G38" s="8">
        <v>0</v>
      </c>
      <c r="H38" s="7">
        <v>342915</v>
      </c>
      <c r="I38" s="7">
        <v>406644</v>
      </c>
      <c r="L38" s="15">
        <f t="shared" si="2"/>
        <v>34</v>
      </c>
      <c r="M38" s="13"/>
      <c r="N38" s="14">
        <f t="shared" si="4"/>
        <v>15769</v>
      </c>
      <c r="O38" s="14"/>
      <c r="P38" s="13"/>
      <c r="Q38" s="14">
        <f t="shared" si="0"/>
        <v>15769</v>
      </c>
    </row>
    <row r="39" spans="1:17">
      <c r="A39" s="9"/>
      <c r="B39" s="9">
        <v>35</v>
      </c>
      <c r="C39" s="10">
        <v>59049</v>
      </c>
      <c r="D39" s="10">
        <v>16084</v>
      </c>
      <c r="E39" s="10">
        <v>119896</v>
      </c>
      <c r="F39" s="10">
        <v>61746</v>
      </c>
      <c r="G39" s="11">
        <v>0</v>
      </c>
      <c r="H39" s="10">
        <v>354651</v>
      </c>
      <c r="I39" s="10">
        <v>416398</v>
      </c>
      <c r="L39" s="15">
        <f t="shared" si="2"/>
        <v>35</v>
      </c>
      <c r="M39" s="13"/>
      <c r="N39" s="14">
        <f t="shared" si="4"/>
        <v>16084</v>
      </c>
      <c r="O39" s="14"/>
      <c r="P39" s="13"/>
      <c r="Q39" s="14">
        <f t="shared" si="0"/>
        <v>16084</v>
      </c>
    </row>
    <row r="40" spans="1:17">
      <c r="A40" s="3"/>
      <c r="B40" s="3">
        <v>36</v>
      </c>
      <c r="C40" s="4">
        <v>56887</v>
      </c>
      <c r="D40" s="4">
        <v>16406</v>
      </c>
      <c r="E40" s="4">
        <v>115506</v>
      </c>
      <c r="F40" s="4">
        <v>59717</v>
      </c>
      <c r="G40" s="5">
        <v>0</v>
      </c>
      <c r="H40" s="4">
        <v>366732</v>
      </c>
      <c r="I40" s="4">
        <v>426449</v>
      </c>
      <c r="L40" s="15">
        <f t="shared" si="2"/>
        <v>36</v>
      </c>
      <c r="M40" s="13"/>
      <c r="N40" s="14">
        <f t="shared" si="4"/>
        <v>16406</v>
      </c>
      <c r="O40" s="14"/>
      <c r="P40" s="13"/>
      <c r="Q40" s="14">
        <f t="shared" si="0"/>
        <v>16406</v>
      </c>
    </row>
    <row r="41" spans="1:17">
      <c r="A41" s="6"/>
      <c r="B41" s="6">
        <v>37</v>
      </c>
      <c r="C41" s="7">
        <v>54812</v>
      </c>
      <c r="D41" s="7">
        <v>16734</v>
      </c>
      <c r="E41" s="7">
        <v>111294</v>
      </c>
      <c r="F41" s="7">
        <v>57984</v>
      </c>
      <c r="G41" s="8">
        <v>0</v>
      </c>
      <c r="H41" s="7">
        <v>378732</v>
      </c>
      <c r="I41" s="7">
        <v>436716</v>
      </c>
      <c r="L41" s="15">
        <f t="shared" si="2"/>
        <v>37</v>
      </c>
      <c r="M41" s="13"/>
      <c r="N41" s="14">
        <f t="shared" si="4"/>
        <v>16734</v>
      </c>
      <c r="O41" s="14"/>
      <c r="P41" s="13"/>
      <c r="Q41" s="14">
        <f t="shared" si="0"/>
        <v>16734</v>
      </c>
    </row>
    <row r="42" spans="1:17">
      <c r="A42" s="6"/>
      <c r="B42" s="6">
        <v>38</v>
      </c>
      <c r="C42" s="7">
        <v>52821</v>
      </c>
      <c r="D42" s="7">
        <v>17069</v>
      </c>
      <c r="E42" s="7">
        <v>107251</v>
      </c>
      <c r="F42" s="7">
        <v>56307</v>
      </c>
      <c r="G42" s="8">
        <v>0</v>
      </c>
      <c r="H42" s="7">
        <v>391036</v>
      </c>
      <c r="I42" s="7">
        <v>447343</v>
      </c>
      <c r="L42" s="15">
        <f t="shared" si="2"/>
        <v>38</v>
      </c>
      <c r="M42" s="13"/>
      <c r="N42" s="14">
        <f t="shared" si="4"/>
        <v>17069</v>
      </c>
      <c r="O42" s="14"/>
      <c r="P42" s="13"/>
      <c r="Q42" s="14">
        <f t="shared" si="0"/>
        <v>17069</v>
      </c>
    </row>
    <row r="43" spans="1:17">
      <c r="A43" s="6"/>
      <c r="B43" s="6">
        <v>39</v>
      </c>
      <c r="C43" s="7">
        <v>50910</v>
      </c>
      <c r="D43" s="7">
        <v>17410</v>
      </c>
      <c r="E43" s="7">
        <v>103370</v>
      </c>
      <c r="F43" s="7">
        <v>54476</v>
      </c>
      <c r="G43" s="8">
        <v>0</v>
      </c>
      <c r="H43" s="7">
        <v>403660</v>
      </c>
      <c r="I43" s="7">
        <v>458136</v>
      </c>
      <c r="L43" s="15">
        <f t="shared" si="2"/>
        <v>39</v>
      </c>
      <c r="M43" s="13"/>
      <c r="N43" s="14">
        <f t="shared" si="4"/>
        <v>17410</v>
      </c>
      <c r="O43" s="14"/>
      <c r="P43" s="13"/>
      <c r="Q43" s="14">
        <f t="shared" si="0"/>
        <v>17410</v>
      </c>
    </row>
    <row r="44" spans="1:17">
      <c r="A44" s="9"/>
      <c r="B44" s="9">
        <v>40</v>
      </c>
      <c r="C44" s="10">
        <v>49302</v>
      </c>
      <c r="D44" s="10">
        <v>17758</v>
      </c>
      <c r="E44" s="10">
        <v>100106</v>
      </c>
      <c r="F44" s="10">
        <v>53237</v>
      </c>
      <c r="G44" s="11">
        <v>0</v>
      </c>
      <c r="H44" s="10">
        <v>417643</v>
      </c>
      <c r="I44" s="10">
        <v>470880</v>
      </c>
      <c r="L44" s="15">
        <f t="shared" si="2"/>
        <v>40</v>
      </c>
      <c r="M44" s="13"/>
      <c r="N44" s="14">
        <f t="shared" si="4"/>
        <v>17758</v>
      </c>
      <c r="O44" s="14"/>
      <c r="P44" s="13"/>
      <c r="Q44" s="14">
        <f t="shared" si="0"/>
        <v>17758</v>
      </c>
    </row>
    <row r="45" spans="1:17">
      <c r="A45" s="3"/>
      <c r="B45" s="3">
        <v>41</v>
      </c>
      <c r="C45" s="4">
        <v>47758</v>
      </c>
      <c r="D45" s="4">
        <v>18114</v>
      </c>
      <c r="E45" s="4">
        <v>96970</v>
      </c>
      <c r="F45" s="4">
        <v>51695</v>
      </c>
      <c r="G45" s="5">
        <v>0</v>
      </c>
      <c r="H45" s="4">
        <v>432291</v>
      </c>
      <c r="I45" s="4">
        <v>483985</v>
      </c>
      <c r="L45" s="15">
        <f t="shared" si="2"/>
        <v>41</v>
      </c>
      <c r="M45" s="13"/>
      <c r="N45" s="14">
        <f t="shared" si="4"/>
        <v>18114</v>
      </c>
      <c r="O45" s="14"/>
      <c r="P45" s="13"/>
      <c r="Q45" s="14">
        <f t="shared" si="0"/>
        <v>18114</v>
      </c>
    </row>
    <row r="46" spans="1:17">
      <c r="A46" s="6"/>
      <c r="B46" s="6">
        <v>42</v>
      </c>
      <c r="C46" s="7">
        <v>46274</v>
      </c>
      <c r="D46" s="7">
        <v>18476</v>
      </c>
      <c r="E46" s="7">
        <v>93957</v>
      </c>
      <c r="F46" s="7">
        <v>50210</v>
      </c>
      <c r="G46" s="8">
        <v>0</v>
      </c>
      <c r="H46" s="7">
        <v>447515</v>
      </c>
      <c r="I46" s="7">
        <v>497726</v>
      </c>
      <c r="L46" s="15">
        <f t="shared" si="2"/>
        <v>42</v>
      </c>
      <c r="M46" s="13"/>
      <c r="N46" s="14">
        <f t="shared" si="4"/>
        <v>18476</v>
      </c>
      <c r="O46" s="14"/>
      <c r="P46" s="13"/>
      <c r="Q46" s="14">
        <f t="shared" si="0"/>
        <v>18476</v>
      </c>
    </row>
    <row r="47" spans="1:17">
      <c r="A47" s="6"/>
      <c r="B47" s="6">
        <v>43</v>
      </c>
      <c r="C47" s="7">
        <v>44848</v>
      </c>
      <c r="D47" s="7">
        <v>18845</v>
      </c>
      <c r="E47" s="7">
        <v>91062</v>
      </c>
      <c r="F47" s="7">
        <v>48782</v>
      </c>
      <c r="G47" s="8">
        <v>0</v>
      </c>
      <c r="H47" s="7">
        <v>463048</v>
      </c>
      <c r="I47" s="7">
        <v>511830</v>
      </c>
      <c r="L47" s="15">
        <f t="shared" si="2"/>
        <v>43</v>
      </c>
      <c r="M47" s="13"/>
      <c r="N47" s="14">
        <f t="shared" si="4"/>
        <v>18845</v>
      </c>
      <c r="O47" s="14"/>
      <c r="P47" s="13"/>
      <c r="Q47" s="14">
        <f t="shared" si="0"/>
        <v>18845</v>
      </c>
    </row>
    <row r="48" spans="1:17">
      <c r="A48" s="6"/>
      <c r="B48" s="6">
        <v>44</v>
      </c>
      <c r="C48" s="7">
        <v>43478</v>
      </c>
      <c r="D48" s="7">
        <v>19222</v>
      </c>
      <c r="E48" s="7">
        <v>88281</v>
      </c>
      <c r="F48" s="7">
        <v>47407</v>
      </c>
      <c r="G48" s="8">
        <v>0</v>
      </c>
      <c r="H48" s="7">
        <v>479187</v>
      </c>
      <c r="I48" s="7">
        <v>526594</v>
      </c>
      <c r="L48" s="15">
        <f t="shared" si="2"/>
        <v>44</v>
      </c>
      <c r="M48" s="13"/>
      <c r="N48" s="14">
        <f t="shared" si="4"/>
        <v>19222</v>
      </c>
      <c r="O48" s="14"/>
      <c r="P48" s="13"/>
      <c r="Q48" s="14">
        <f t="shared" si="0"/>
        <v>19222</v>
      </c>
    </row>
    <row r="49" spans="1:17">
      <c r="A49" s="9"/>
      <c r="B49" s="9">
        <v>45</v>
      </c>
      <c r="C49" s="10">
        <v>42163</v>
      </c>
      <c r="D49" s="10">
        <v>19607</v>
      </c>
      <c r="E49" s="10">
        <v>85610</v>
      </c>
      <c r="F49" s="10">
        <v>46084</v>
      </c>
      <c r="G49" s="11">
        <v>0</v>
      </c>
      <c r="H49" s="10">
        <v>495851</v>
      </c>
      <c r="I49" s="10">
        <v>541934</v>
      </c>
      <c r="L49" s="15">
        <f t="shared" si="2"/>
        <v>45</v>
      </c>
      <c r="M49" s="13"/>
      <c r="N49" s="14">
        <f t="shared" si="4"/>
        <v>19607</v>
      </c>
      <c r="O49" s="14"/>
      <c r="P49" s="13"/>
      <c r="Q49" s="14">
        <f t="shared" si="0"/>
        <v>19607</v>
      </c>
    </row>
    <row r="50" spans="1:17">
      <c r="A50" s="3"/>
      <c r="B50" s="3">
        <v>46</v>
      </c>
      <c r="C50" s="4">
        <v>40899</v>
      </c>
      <c r="D50" s="4">
        <v>19999</v>
      </c>
      <c r="E50" s="4">
        <v>83044</v>
      </c>
      <c r="F50" s="4">
        <v>44811</v>
      </c>
      <c r="G50" s="5">
        <v>0</v>
      </c>
      <c r="H50" s="4">
        <v>513047</v>
      </c>
      <c r="I50" s="4">
        <v>557857</v>
      </c>
      <c r="L50" s="15">
        <f t="shared" si="2"/>
        <v>46</v>
      </c>
      <c r="M50" s="13"/>
      <c r="N50" s="14">
        <f t="shared" si="4"/>
        <v>19999</v>
      </c>
      <c r="O50" s="14"/>
      <c r="P50" s="13"/>
      <c r="Q50" s="14">
        <f t="shared" si="0"/>
        <v>19999</v>
      </c>
    </row>
    <row r="51" spans="1:17">
      <c r="A51" s="6"/>
      <c r="B51" s="6">
        <v>47</v>
      </c>
      <c r="C51" s="7">
        <v>39686</v>
      </c>
      <c r="D51" s="7">
        <v>20399</v>
      </c>
      <c r="E51" s="7">
        <v>80580</v>
      </c>
      <c r="F51" s="7">
        <v>43586</v>
      </c>
      <c r="G51" s="8">
        <v>0</v>
      </c>
      <c r="H51" s="7">
        <v>530781</v>
      </c>
      <c r="I51" s="7">
        <v>574366</v>
      </c>
      <c r="L51" s="15">
        <f t="shared" si="2"/>
        <v>47</v>
      </c>
      <c r="M51" s="13"/>
      <c r="N51" s="14">
        <f t="shared" si="4"/>
        <v>20399</v>
      </c>
      <c r="O51" s="14"/>
      <c r="P51" s="13"/>
      <c r="Q51" s="14">
        <f t="shared" si="0"/>
        <v>20399</v>
      </c>
    </row>
    <row r="52" spans="1:17">
      <c r="A52" s="6"/>
      <c r="B52" s="6">
        <v>48</v>
      </c>
      <c r="C52" s="7">
        <v>38520</v>
      </c>
      <c r="D52" s="7">
        <v>20807</v>
      </c>
      <c r="E52" s="7">
        <v>78214</v>
      </c>
      <c r="F52" s="7">
        <v>42470</v>
      </c>
      <c r="G52" s="8">
        <v>0</v>
      </c>
      <c r="H52" s="7">
        <v>549139</v>
      </c>
      <c r="I52" s="7">
        <v>591609</v>
      </c>
      <c r="L52" s="15">
        <f t="shared" si="2"/>
        <v>48</v>
      </c>
      <c r="M52" s="13"/>
      <c r="N52" s="14">
        <f t="shared" si="4"/>
        <v>20807</v>
      </c>
      <c r="O52" s="14"/>
      <c r="P52" s="13"/>
      <c r="Q52" s="14">
        <f t="shared" si="0"/>
        <v>20807</v>
      </c>
    </row>
    <row r="53" spans="1:17">
      <c r="A53" s="6"/>
      <c r="B53" s="6">
        <v>49</v>
      </c>
      <c r="C53" s="7">
        <v>37405</v>
      </c>
      <c r="D53" s="7">
        <v>21223</v>
      </c>
      <c r="E53" s="7">
        <v>75949</v>
      </c>
      <c r="F53" s="7">
        <v>41354</v>
      </c>
      <c r="G53" s="8">
        <v>0</v>
      </c>
      <c r="H53" s="7">
        <v>569919</v>
      </c>
      <c r="I53" s="7">
        <v>611273</v>
      </c>
      <c r="L53" s="15">
        <f t="shared" si="2"/>
        <v>49</v>
      </c>
      <c r="M53" s="13"/>
      <c r="N53" s="14">
        <f t="shared" si="4"/>
        <v>21223</v>
      </c>
      <c r="O53" s="14"/>
      <c r="P53" s="13"/>
      <c r="Q53" s="14">
        <f t="shared" si="0"/>
        <v>21223</v>
      </c>
    </row>
    <row r="54" spans="1:17">
      <c r="A54" s="9"/>
      <c r="B54" s="9">
        <v>50</v>
      </c>
      <c r="C54" s="10">
        <v>36518</v>
      </c>
      <c r="D54" s="10">
        <v>21647</v>
      </c>
      <c r="E54" s="10">
        <v>73773</v>
      </c>
      <c r="F54" s="10">
        <v>40280</v>
      </c>
      <c r="G54" s="11">
        <v>0</v>
      </c>
      <c r="H54" s="10">
        <v>589520</v>
      </c>
      <c r="I54" s="10">
        <v>629800</v>
      </c>
      <c r="L54" s="15">
        <f t="shared" si="2"/>
        <v>50</v>
      </c>
      <c r="M54" s="13"/>
      <c r="N54" s="14">
        <f t="shared" si="4"/>
        <v>21647</v>
      </c>
      <c r="O54" s="14"/>
      <c r="P54" s="13"/>
      <c r="Q54" s="14">
        <f t="shared" si="0"/>
        <v>21647</v>
      </c>
    </row>
    <row r="55" spans="1:17">
      <c r="A55" s="3"/>
      <c r="B55" s="3">
        <v>51</v>
      </c>
      <c r="C55" s="4">
        <v>35483</v>
      </c>
      <c r="D55" s="4">
        <v>22080</v>
      </c>
      <c r="E55" s="4">
        <v>71683</v>
      </c>
      <c r="F55" s="4">
        <v>39246</v>
      </c>
      <c r="G55" s="5">
        <v>0</v>
      </c>
      <c r="H55" s="4">
        <v>609734</v>
      </c>
      <c r="I55" s="4">
        <v>648980</v>
      </c>
      <c r="L55" s="15">
        <f t="shared" si="2"/>
        <v>51</v>
      </c>
      <c r="M55" s="13"/>
      <c r="N55" s="14">
        <f t="shared" si="4"/>
        <v>22080</v>
      </c>
      <c r="O55" s="14"/>
      <c r="P55" s="13"/>
      <c r="Q55" s="14">
        <f t="shared" si="0"/>
        <v>22080</v>
      </c>
    </row>
    <row r="56" spans="1:17">
      <c r="A56" s="6"/>
      <c r="B56" s="6">
        <v>52</v>
      </c>
      <c r="C56" s="7">
        <v>34489</v>
      </c>
      <c r="D56" s="7">
        <v>22522</v>
      </c>
      <c r="E56" s="7">
        <v>69675</v>
      </c>
      <c r="F56" s="7">
        <v>38252</v>
      </c>
      <c r="G56" s="8">
        <v>0</v>
      </c>
      <c r="H56" s="7">
        <v>630767</v>
      </c>
      <c r="I56" s="7">
        <v>669019</v>
      </c>
      <c r="L56" s="15">
        <f t="shared" si="2"/>
        <v>52</v>
      </c>
      <c r="M56" s="13"/>
      <c r="N56" s="14">
        <f t="shared" si="4"/>
        <v>22522</v>
      </c>
      <c r="O56" s="14"/>
      <c r="P56" s="13"/>
      <c r="Q56" s="14">
        <f t="shared" si="0"/>
        <v>22522</v>
      </c>
    </row>
    <row r="57" spans="1:17">
      <c r="A57" s="6"/>
      <c r="B57" s="6">
        <v>53</v>
      </c>
      <c r="C57" s="7">
        <v>33535</v>
      </c>
      <c r="D57" s="7">
        <v>22972</v>
      </c>
      <c r="E57" s="7">
        <v>67746</v>
      </c>
      <c r="F57" s="7">
        <v>37294</v>
      </c>
      <c r="G57" s="8">
        <v>0</v>
      </c>
      <c r="H57" s="7">
        <v>652602</v>
      </c>
      <c r="I57" s="7">
        <v>689896</v>
      </c>
      <c r="L57" s="15">
        <f t="shared" si="2"/>
        <v>53</v>
      </c>
      <c r="M57" s="13"/>
      <c r="N57" s="14">
        <f t="shared" si="4"/>
        <v>22972</v>
      </c>
      <c r="O57" s="14"/>
      <c r="P57" s="13"/>
      <c r="Q57" s="14">
        <f t="shared" si="0"/>
        <v>22972</v>
      </c>
    </row>
    <row r="58" spans="1:17">
      <c r="A58" s="6"/>
      <c r="B58" s="6">
        <v>54</v>
      </c>
      <c r="C58" s="7">
        <v>32618</v>
      </c>
      <c r="D58" s="7">
        <v>23432</v>
      </c>
      <c r="E58" s="7">
        <v>65895</v>
      </c>
      <c r="F58" s="7">
        <v>36440</v>
      </c>
      <c r="G58" s="8">
        <v>0</v>
      </c>
      <c r="H58" s="7">
        <v>675287</v>
      </c>
      <c r="I58" s="7">
        <v>711727</v>
      </c>
      <c r="L58" s="15">
        <f t="shared" si="2"/>
        <v>54</v>
      </c>
      <c r="M58" s="13"/>
      <c r="N58" s="14">
        <f t="shared" si="4"/>
        <v>23432</v>
      </c>
      <c r="O58" s="14"/>
      <c r="P58" s="13"/>
      <c r="Q58" s="14">
        <f t="shared" si="0"/>
        <v>23432</v>
      </c>
    </row>
    <row r="59" spans="1:17">
      <c r="A59" s="9"/>
      <c r="B59" s="9">
        <v>55</v>
      </c>
      <c r="C59" s="10">
        <v>31737</v>
      </c>
      <c r="D59" s="10">
        <v>23901</v>
      </c>
      <c r="E59" s="10">
        <v>64116</v>
      </c>
      <c r="F59" s="10">
        <v>35552</v>
      </c>
      <c r="G59" s="11">
        <v>0</v>
      </c>
      <c r="H59" s="10">
        <v>698864</v>
      </c>
      <c r="I59" s="10">
        <v>734417</v>
      </c>
      <c r="L59" s="15">
        <f t="shared" si="2"/>
        <v>55</v>
      </c>
      <c r="M59" s="13"/>
      <c r="N59" s="14">
        <f t="shared" si="4"/>
        <v>23901</v>
      </c>
      <c r="O59" s="14"/>
      <c r="P59" s="13"/>
      <c r="Q59" s="14">
        <f t="shared" si="0"/>
        <v>23901</v>
      </c>
    </row>
    <row r="60" spans="1:17">
      <c r="A60" s="3"/>
      <c r="B60" s="3">
        <v>56</v>
      </c>
      <c r="C60" s="4">
        <v>30892</v>
      </c>
      <c r="D60" s="4">
        <v>24379</v>
      </c>
      <c r="E60" s="4">
        <v>62408</v>
      </c>
      <c r="F60" s="4">
        <v>34699</v>
      </c>
      <c r="G60" s="5">
        <v>0</v>
      </c>
      <c r="H60" s="4">
        <v>723436</v>
      </c>
      <c r="I60" s="4">
        <v>758135</v>
      </c>
      <c r="L60" s="15">
        <f t="shared" si="2"/>
        <v>56</v>
      </c>
      <c r="M60" s="13"/>
      <c r="N60" s="14">
        <f t="shared" si="4"/>
        <v>24379</v>
      </c>
      <c r="O60" s="14"/>
      <c r="P60" s="13"/>
      <c r="Q60" s="14">
        <f t="shared" si="0"/>
        <v>24379</v>
      </c>
    </row>
    <row r="61" spans="1:17">
      <c r="A61" s="9"/>
      <c r="B61" s="6">
        <v>57</v>
      </c>
      <c r="C61" s="7">
        <v>30081</v>
      </c>
      <c r="D61" s="7">
        <v>24866</v>
      </c>
      <c r="E61" s="7">
        <v>60769</v>
      </c>
      <c r="F61" s="7">
        <v>33879</v>
      </c>
      <c r="G61" s="8">
        <v>0</v>
      </c>
      <c r="H61" s="7">
        <v>749034</v>
      </c>
      <c r="I61" s="7">
        <v>782913</v>
      </c>
      <c r="L61" s="15">
        <f t="shared" si="2"/>
        <v>57</v>
      </c>
      <c r="M61" s="13"/>
      <c r="N61" s="14">
        <f t="shared" si="4"/>
        <v>24866</v>
      </c>
      <c r="O61" s="14"/>
      <c r="P61" s="14"/>
      <c r="Q61" s="14">
        <f t="shared" si="0"/>
        <v>24866</v>
      </c>
    </row>
    <row r="62" spans="1:17">
      <c r="B62" s="6">
        <v>58</v>
      </c>
      <c r="C62" s="7">
        <v>29301</v>
      </c>
      <c r="D62" s="7">
        <v>25363</v>
      </c>
      <c r="E62" s="7">
        <v>59195</v>
      </c>
      <c r="F62" s="7">
        <v>33090</v>
      </c>
      <c r="G62" s="8">
        <v>0</v>
      </c>
      <c r="H62" s="7">
        <v>775747</v>
      </c>
      <c r="I62" s="7">
        <v>808837</v>
      </c>
      <c r="L62" s="15">
        <f t="shared" ref="L62:L104" si="5">B62</f>
        <v>58</v>
      </c>
      <c r="M62" s="13"/>
      <c r="N62" s="14">
        <f t="shared" ref="N62:N104" si="6">D62</f>
        <v>25363</v>
      </c>
      <c r="O62" s="14"/>
      <c r="P62" s="14"/>
      <c r="Q62" s="14">
        <f t="shared" ref="Q62:Q104" si="7">M62+N62+P62+O62</f>
        <v>25363</v>
      </c>
    </row>
    <row r="63" spans="1:17">
      <c r="B63" s="6">
        <v>59</v>
      </c>
      <c r="C63" s="7">
        <v>28554</v>
      </c>
      <c r="D63" s="7">
        <v>25871</v>
      </c>
      <c r="E63" s="7">
        <v>57684</v>
      </c>
      <c r="F63" s="7">
        <v>32332</v>
      </c>
      <c r="G63" s="8">
        <v>0</v>
      </c>
      <c r="H63" s="7">
        <v>803536</v>
      </c>
      <c r="I63" s="7">
        <v>835867</v>
      </c>
      <c r="L63" s="15">
        <f t="shared" si="5"/>
        <v>59</v>
      </c>
      <c r="M63" s="13"/>
      <c r="N63" s="14">
        <f t="shared" si="6"/>
        <v>25871</v>
      </c>
      <c r="O63" s="14"/>
      <c r="P63" s="14"/>
      <c r="Q63" s="14">
        <f t="shared" si="7"/>
        <v>25871</v>
      </c>
    </row>
    <row r="64" spans="1:17">
      <c r="B64" s="9">
        <v>60</v>
      </c>
      <c r="C64" s="10">
        <v>27836</v>
      </c>
      <c r="D64" s="10">
        <v>26388</v>
      </c>
      <c r="E64" s="10">
        <v>56234</v>
      </c>
      <c r="F64" s="10">
        <v>31603</v>
      </c>
      <c r="G64" s="11">
        <v>0</v>
      </c>
      <c r="H64" s="10">
        <v>832539</v>
      </c>
      <c r="I64" s="10">
        <v>864142</v>
      </c>
      <c r="L64" s="15">
        <f t="shared" si="5"/>
        <v>60</v>
      </c>
      <c r="M64" s="13"/>
      <c r="N64" s="14">
        <f t="shared" si="6"/>
        <v>26388</v>
      </c>
      <c r="O64" s="14"/>
      <c r="P64" s="14"/>
      <c r="Q64" s="14">
        <f t="shared" si="7"/>
        <v>26388</v>
      </c>
    </row>
    <row r="65" spans="2:17">
      <c r="B65" s="3">
        <v>61</v>
      </c>
      <c r="C65" s="4">
        <v>27147</v>
      </c>
      <c r="D65" s="4">
        <v>26916</v>
      </c>
      <c r="E65" s="4">
        <v>54842</v>
      </c>
      <c r="F65" s="4">
        <v>30903</v>
      </c>
      <c r="G65" s="5">
        <v>0</v>
      </c>
      <c r="H65" s="4">
        <v>862826</v>
      </c>
      <c r="I65" s="4">
        <v>893729</v>
      </c>
      <c r="L65" s="15">
        <f t="shared" si="5"/>
        <v>61</v>
      </c>
      <c r="M65" s="13"/>
      <c r="N65" s="14">
        <f t="shared" si="6"/>
        <v>26916</v>
      </c>
      <c r="O65" s="14"/>
      <c r="P65" s="14"/>
      <c r="Q65" s="14">
        <f t="shared" si="7"/>
        <v>26916</v>
      </c>
    </row>
    <row r="66" spans="2:17">
      <c r="B66" s="6">
        <v>62</v>
      </c>
      <c r="C66" s="7">
        <v>26486</v>
      </c>
      <c r="D66" s="7">
        <v>27454</v>
      </c>
      <c r="E66" s="7">
        <v>53506</v>
      </c>
      <c r="F66" s="7">
        <v>30231</v>
      </c>
      <c r="G66" s="8">
        <v>0</v>
      </c>
      <c r="H66" s="7">
        <v>894518</v>
      </c>
      <c r="I66" s="7">
        <v>924749</v>
      </c>
      <c r="L66" s="15">
        <f t="shared" si="5"/>
        <v>62</v>
      </c>
      <c r="M66" s="13"/>
      <c r="N66" s="14">
        <f t="shared" si="6"/>
        <v>27454</v>
      </c>
      <c r="O66" s="14"/>
      <c r="P66" s="14"/>
      <c r="Q66" s="14">
        <f t="shared" si="7"/>
        <v>27454</v>
      </c>
    </row>
    <row r="67" spans="2:17">
      <c r="B67" s="6">
        <v>63</v>
      </c>
      <c r="C67" s="7">
        <v>25851</v>
      </c>
      <c r="D67" s="7">
        <v>28003</v>
      </c>
      <c r="E67" s="7">
        <v>52225</v>
      </c>
      <c r="F67" s="7">
        <v>29612</v>
      </c>
      <c r="G67" s="8">
        <v>0</v>
      </c>
      <c r="H67" s="7">
        <v>927566</v>
      </c>
      <c r="I67" s="7">
        <v>957178</v>
      </c>
      <c r="L67" s="15">
        <f t="shared" si="5"/>
        <v>63</v>
      </c>
      <c r="M67" s="13"/>
      <c r="N67" s="14">
        <f t="shared" si="6"/>
        <v>28003</v>
      </c>
      <c r="O67" s="14"/>
      <c r="P67" s="14"/>
      <c r="Q67" s="14">
        <f t="shared" si="7"/>
        <v>28003</v>
      </c>
    </row>
    <row r="68" spans="2:17">
      <c r="B68" s="6">
        <v>64</v>
      </c>
      <c r="C68" s="7">
        <v>25243</v>
      </c>
      <c r="D68" s="7">
        <v>28563</v>
      </c>
      <c r="E68" s="7">
        <v>50996</v>
      </c>
      <c r="F68" s="7">
        <v>29016</v>
      </c>
      <c r="G68" s="8">
        <v>0</v>
      </c>
      <c r="H68" s="7">
        <v>962132</v>
      </c>
      <c r="I68" s="7">
        <v>991149</v>
      </c>
      <c r="L68" s="15">
        <f t="shared" si="5"/>
        <v>64</v>
      </c>
      <c r="M68" s="13"/>
      <c r="N68" s="14">
        <f t="shared" si="6"/>
        <v>28563</v>
      </c>
      <c r="O68" s="14"/>
      <c r="P68" s="14"/>
      <c r="Q68" s="14">
        <f t="shared" si="7"/>
        <v>28563</v>
      </c>
    </row>
    <row r="69" spans="2:17">
      <c r="B69" s="9">
        <v>65</v>
      </c>
      <c r="C69" s="10">
        <v>24659</v>
      </c>
      <c r="D69" s="10">
        <v>29135</v>
      </c>
      <c r="E69" s="10">
        <v>49816</v>
      </c>
      <c r="F69" s="10">
        <v>28445</v>
      </c>
      <c r="G69" s="11">
        <v>0</v>
      </c>
      <c r="H69" s="10">
        <v>998368</v>
      </c>
      <c r="I69" s="10">
        <v>1026813</v>
      </c>
      <c r="L69" s="15">
        <f t="shared" si="5"/>
        <v>65</v>
      </c>
      <c r="M69" s="13"/>
      <c r="N69" s="14">
        <f t="shared" si="6"/>
        <v>29135</v>
      </c>
      <c r="O69" s="14"/>
      <c r="P69" s="14"/>
      <c r="Q69" s="14">
        <f t="shared" si="7"/>
        <v>29135</v>
      </c>
    </row>
    <row r="70" spans="2:17">
      <c r="B70" s="3">
        <v>66</v>
      </c>
      <c r="C70" s="4">
        <v>24099</v>
      </c>
      <c r="D70" s="4">
        <v>29717</v>
      </c>
      <c r="E70" s="4">
        <v>48685</v>
      </c>
      <c r="F70" s="4">
        <v>27897</v>
      </c>
      <c r="G70" s="5">
        <v>0</v>
      </c>
      <c r="H70" s="4">
        <v>1036266</v>
      </c>
      <c r="I70" s="4">
        <v>1064163</v>
      </c>
      <c r="L70" s="15">
        <f t="shared" si="5"/>
        <v>66</v>
      </c>
      <c r="M70" s="13"/>
      <c r="N70" s="14">
        <f t="shared" si="6"/>
        <v>29717</v>
      </c>
      <c r="O70" s="14"/>
      <c r="P70" s="14"/>
      <c r="Q70" s="14">
        <f t="shared" si="7"/>
        <v>29717</v>
      </c>
    </row>
    <row r="71" spans="2:17">
      <c r="B71" s="6">
        <v>67</v>
      </c>
      <c r="C71" s="7">
        <v>23562</v>
      </c>
      <c r="D71" s="7">
        <v>30312</v>
      </c>
      <c r="E71" s="7">
        <v>47601</v>
      </c>
      <c r="F71" s="7">
        <v>27370</v>
      </c>
      <c r="G71" s="8">
        <v>0</v>
      </c>
      <c r="H71" s="7">
        <v>1075965</v>
      </c>
      <c r="I71" s="7">
        <v>1103335</v>
      </c>
      <c r="L71" s="15">
        <f t="shared" si="5"/>
        <v>67</v>
      </c>
      <c r="M71" s="13"/>
      <c r="N71" s="14">
        <f t="shared" si="6"/>
        <v>30312</v>
      </c>
      <c r="O71" s="14"/>
      <c r="P71" s="14"/>
      <c r="Q71" s="14">
        <f t="shared" si="7"/>
        <v>30312</v>
      </c>
    </row>
    <row r="72" spans="2:17">
      <c r="B72" s="6">
        <v>68</v>
      </c>
      <c r="C72" s="7">
        <v>23048</v>
      </c>
      <c r="D72" s="7">
        <v>30918</v>
      </c>
      <c r="E72" s="7">
        <v>46561</v>
      </c>
      <c r="F72" s="7">
        <v>26912</v>
      </c>
      <c r="G72" s="8">
        <v>0</v>
      </c>
      <c r="H72" s="7">
        <v>1117549</v>
      </c>
      <c r="I72" s="7">
        <v>1144461</v>
      </c>
      <c r="L72" s="15">
        <f t="shared" si="5"/>
        <v>68</v>
      </c>
      <c r="M72" s="13"/>
      <c r="N72" s="14">
        <f t="shared" si="6"/>
        <v>30918</v>
      </c>
      <c r="O72" s="14"/>
      <c r="P72" s="14"/>
      <c r="Q72" s="14">
        <f t="shared" si="7"/>
        <v>30918</v>
      </c>
    </row>
    <row r="73" spans="2:17">
      <c r="B73" s="6">
        <v>69</v>
      </c>
      <c r="C73" s="7">
        <v>22554</v>
      </c>
      <c r="D73" s="7">
        <v>31536</v>
      </c>
      <c r="E73" s="7">
        <v>45564</v>
      </c>
      <c r="F73" s="7">
        <v>26409</v>
      </c>
      <c r="G73" s="8">
        <v>0</v>
      </c>
      <c r="H73" s="7">
        <v>1161190</v>
      </c>
      <c r="I73" s="7">
        <v>1187599</v>
      </c>
      <c r="L73" s="15">
        <f t="shared" si="5"/>
        <v>69</v>
      </c>
      <c r="M73" s="13"/>
      <c r="N73" s="14">
        <f t="shared" si="6"/>
        <v>31536</v>
      </c>
      <c r="O73" s="14"/>
      <c r="P73" s="14"/>
      <c r="Q73" s="14">
        <f t="shared" si="7"/>
        <v>31536</v>
      </c>
    </row>
    <row r="74" spans="2:17">
      <c r="B74" s="9">
        <v>70</v>
      </c>
      <c r="C74" s="10">
        <v>22081</v>
      </c>
      <c r="D74" s="10">
        <v>32167</v>
      </c>
      <c r="E74" s="10">
        <v>44608</v>
      </c>
      <c r="F74" s="10">
        <v>25962</v>
      </c>
      <c r="G74" s="11">
        <v>0</v>
      </c>
      <c r="H74" s="10">
        <v>1207004</v>
      </c>
      <c r="I74" s="10">
        <v>1232965</v>
      </c>
      <c r="L74" s="15">
        <f t="shared" si="5"/>
        <v>70</v>
      </c>
      <c r="M74" s="13"/>
      <c r="N74" s="14">
        <f t="shared" si="6"/>
        <v>32167</v>
      </c>
      <c r="O74" s="14"/>
      <c r="P74" s="14"/>
      <c r="Q74" s="14">
        <f t="shared" si="7"/>
        <v>32167</v>
      </c>
    </row>
    <row r="75" spans="2:17">
      <c r="B75" s="3">
        <v>71</v>
      </c>
      <c r="C75" s="4">
        <v>21628</v>
      </c>
      <c r="D75" s="4">
        <v>32810</v>
      </c>
      <c r="E75" s="4">
        <v>43692</v>
      </c>
      <c r="F75" s="4">
        <v>25560</v>
      </c>
      <c r="G75" s="5">
        <v>0</v>
      </c>
      <c r="H75" s="4">
        <v>1255058</v>
      </c>
      <c r="I75" s="4">
        <v>1280618</v>
      </c>
      <c r="L75" s="15">
        <f t="shared" si="5"/>
        <v>71</v>
      </c>
      <c r="M75" s="13"/>
      <c r="N75" s="14">
        <f t="shared" si="6"/>
        <v>32810</v>
      </c>
      <c r="O75" s="14"/>
      <c r="P75" s="14"/>
      <c r="Q75" s="14">
        <f t="shared" si="7"/>
        <v>32810</v>
      </c>
    </row>
    <row r="76" spans="2:17">
      <c r="B76" s="6">
        <v>72</v>
      </c>
      <c r="C76" s="7">
        <v>21193</v>
      </c>
      <c r="D76" s="7">
        <v>33467</v>
      </c>
      <c r="E76" s="7">
        <v>42815</v>
      </c>
      <c r="F76" s="7">
        <v>25132</v>
      </c>
      <c r="G76" s="8">
        <v>0</v>
      </c>
      <c r="H76" s="7">
        <v>1305546</v>
      </c>
      <c r="I76" s="7">
        <v>1330678</v>
      </c>
      <c r="L76" s="15">
        <f t="shared" si="5"/>
        <v>72</v>
      </c>
      <c r="M76" s="13"/>
      <c r="N76" s="14">
        <f t="shared" si="6"/>
        <v>33467</v>
      </c>
      <c r="O76" s="14"/>
      <c r="P76" s="14"/>
      <c r="Q76" s="14">
        <f t="shared" si="7"/>
        <v>33467</v>
      </c>
    </row>
    <row r="77" spans="2:17">
      <c r="B77" s="6">
        <v>73</v>
      </c>
      <c r="C77" s="7">
        <v>20777</v>
      </c>
      <c r="D77" s="7">
        <v>34136</v>
      </c>
      <c r="E77" s="7">
        <v>41974</v>
      </c>
      <c r="F77" s="7">
        <v>24765</v>
      </c>
      <c r="G77" s="8">
        <v>0</v>
      </c>
      <c r="H77" s="7">
        <v>1358612</v>
      </c>
      <c r="I77" s="7">
        <v>1383377</v>
      </c>
      <c r="L77" s="15">
        <f t="shared" si="5"/>
        <v>73</v>
      </c>
      <c r="M77" s="13"/>
      <c r="N77" s="14">
        <f t="shared" si="6"/>
        <v>34136</v>
      </c>
      <c r="O77" s="14"/>
      <c r="P77" s="14"/>
      <c r="Q77" s="14">
        <f t="shared" si="7"/>
        <v>34136</v>
      </c>
    </row>
    <row r="78" spans="2:17">
      <c r="B78" s="6">
        <v>74</v>
      </c>
      <c r="C78" s="7">
        <v>20379</v>
      </c>
      <c r="D78" s="7">
        <v>34819</v>
      </c>
      <c r="E78" s="7">
        <v>41169</v>
      </c>
      <c r="F78" s="7">
        <v>24372</v>
      </c>
      <c r="G78" s="8">
        <v>0</v>
      </c>
      <c r="H78" s="7">
        <v>1414392</v>
      </c>
      <c r="I78" s="7">
        <v>1438764</v>
      </c>
      <c r="L78" s="15">
        <f t="shared" si="5"/>
        <v>74</v>
      </c>
      <c r="M78" s="13"/>
      <c r="N78" s="14">
        <f t="shared" si="6"/>
        <v>34819</v>
      </c>
      <c r="O78" s="14"/>
      <c r="P78" s="14"/>
      <c r="Q78" s="14">
        <f t="shared" si="7"/>
        <v>34819</v>
      </c>
    </row>
    <row r="79" spans="2:17">
      <c r="B79" s="9">
        <v>75</v>
      </c>
      <c r="C79" s="10">
        <v>19997</v>
      </c>
      <c r="D79" s="10">
        <v>35515</v>
      </c>
      <c r="E79" s="10">
        <v>40398</v>
      </c>
      <c r="F79" s="10">
        <v>23996</v>
      </c>
      <c r="G79" s="11">
        <v>0</v>
      </c>
      <c r="H79" s="10">
        <v>1473059</v>
      </c>
      <c r="I79" s="10">
        <v>1497055</v>
      </c>
      <c r="L79" s="15">
        <f t="shared" si="5"/>
        <v>75</v>
      </c>
      <c r="M79" s="13"/>
      <c r="N79" s="14">
        <f t="shared" si="6"/>
        <v>35515</v>
      </c>
      <c r="O79" s="14"/>
      <c r="P79" s="14"/>
      <c r="Q79" s="14">
        <f t="shared" si="7"/>
        <v>35515</v>
      </c>
    </row>
    <row r="80" spans="2:17">
      <c r="B80" s="3">
        <v>76</v>
      </c>
      <c r="C80" s="4">
        <v>19631</v>
      </c>
      <c r="D80" s="4">
        <v>36225</v>
      </c>
      <c r="E80" s="4">
        <v>39659</v>
      </c>
      <c r="F80" s="4">
        <v>23637</v>
      </c>
      <c r="G80" s="5">
        <v>0</v>
      </c>
      <c r="H80" s="4">
        <v>1534820</v>
      </c>
      <c r="I80" s="4">
        <v>1558457</v>
      </c>
      <c r="L80" s="15">
        <f t="shared" si="5"/>
        <v>76</v>
      </c>
      <c r="M80" s="13"/>
      <c r="N80" s="14">
        <f t="shared" si="6"/>
        <v>36225</v>
      </c>
      <c r="O80" s="14"/>
      <c r="P80" s="14"/>
      <c r="Q80" s="14">
        <f t="shared" si="7"/>
        <v>36225</v>
      </c>
    </row>
    <row r="81" spans="2:17">
      <c r="B81" s="6">
        <v>77</v>
      </c>
      <c r="C81" s="7">
        <v>19282</v>
      </c>
      <c r="D81" s="7">
        <v>36950</v>
      </c>
      <c r="E81" s="7">
        <v>38953</v>
      </c>
      <c r="F81" s="7">
        <v>23333</v>
      </c>
      <c r="G81" s="8">
        <v>0</v>
      </c>
      <c r="H81" s="7">
        <v>1599755</v>
      </c>
      <c r="I81" s="7">
        <v>1623087</v>
      </c>
      <c r="L81" s="15">
        <f t="shared" si="5"/>
        <v>77</v>
      </c>
      <c r="M81" s="13"/>
      <c r="N81" s="14">
        <f t="shared" si="6"/>
        <v>36950</v>
      </c>
      <c r="O81" s="14"/>
      <c r="P81" s="14"/>
      <c r="Q81" s="14">
        <f t="shared" si="7"/>
        <v>36950</v>
      </c>
    </row>
    <row r="82" spans="2:17">
      <c r="B82" s="6">
        <v>78</v>
      </c>
      <c r="C82" s="7">
        <v>18947</v>
      </c>
      <c r="D82" s="7">
        <v>37689</v>
      </c>
      <c r="E82" s="7">
        <v>38277</v>
      </c>
      <c r="F82" s="7">
        <v>23043</v>
      </c>
      <c r="G82" s="8">
        <v>0</v>
      </c>
      <c r="H82" s="7">
        <v>1668176</v>
      </c>
      <c r="I82" s="7">
        <v>1691218</v>
      </c>
      <c r="L82" s="15">
        <f t="shared" si="5"/>
        <v>78</v>
      </c>
      <c r="M82" s="13"/>
      <c r="N82" s="14">
        <f t="shared" si="6"/>
        <v>37689</v>
      </c>
      <c r="O82" s="14"/>
      <c r="P82" s="14"/>
      <c r="Q82" s="14">
        <f t="shared" si="7"/>
        <v>37689</v>
      </c>
    </row>
    <row r="83" spans="2:17">
      <c r="B83" s="6">
        <v>79</v>
      </c>
      <c r="C83" s="7">
        <v>18627</v>
      </c>
      <c r="D83" s="7">
        <v>38443</v>
      </c>
      <c r="E83" s="7">
        <v>37630</v>
      </c>
      <c r="F83" s="7">
        <v>22728</v>
      </c>
      <c r="G83" s="8">
        <v>0</v>
      </c>
      <c r="H83" s="7">
        <v>1740231</v>
      </c>
      <c r="I83" s="7">
        <v>1762959</v>
      </c>
      <c r="L83" s="15">
        <f t="shared" si="5"/>
        <v>79</v>
      </c>
      <c r="M83" s="13"/>
      <c r="N83" s="14">
        <f t="shared" si="6"/>
        <v>38443</v>
      </c>
      <c r="O83" s="14"/>
      <c r="P83" s="14"/>
      <c r="Q83" s="14">
        <f t="shared" si="7"/>
        <v>38443</v>
      </c>
    </row>
    <row r="84" spans="2:17">
      <c r="B84" s="9">
        <v>80</v>
      </c>
      <c r="C84" s="10">
        <v>18321</v>
      </c>
      <c r="D84" s="10">
        <v>39211</v>
      </c>
      <c r="E84" s="10">
        <v>37011</v>
      </c>
      <c r="F84" s="10">
        <v>22466</v>
      </c>
      <c r="G84" s="11">
        <v>0</v>
      </c>
      <c r="H84" s="10">
        <v>1816178</v>
      </c>
      <c r="I84" s="10">
        <v>1838644</v>
      </c>
      <c r="L84" s="15">
        <f t="shared" si="5"/>
        <v>80</v>
      </c>
      <c r="M84" s="13"/>
      <c r="N84" s="14">
        <f t="shared" si="6"/>
        <v>39211</v>
      </c>
      <c r="O84" s="14"/>
      <c r="P84" s="14"/>
      <c r="Q84" s="14">
        <f t="shared" si="7"/>
        <v>39211</v>
      </c>
    </row>
    <row r="85" spans="2:17">
      <c r="B85" s="3">
        <v>81</v>
      </c>
      <c r="C85" s="4">
        <v>18028</v>
      </c>
      <c r="D85" s="4">
        <v>39996</v>
      </c>
      <c r="E85" s="4">
        <v>36420</v>
      </c>
      <c r="F85" s="4">
        <v>22216</v>
      </c>
      <c r="G85" s="5">
        <v>0</v>
      </c>
      <c r="H85" s="4">
        <v>1896230</v>
      </c>
      <c r="I85" s="4">
        <v>1918446</v>
      </c>
      <c r="L85" s="15">
        <f t="shared" si="5"/>
        <v>81</v>
      </c>
      <c r="M85" s="13"/>
      <c r="N85" s="14">
        <f t="shared" si="6"/>
        <v>39996</v>
      </c>
      <c r="O85" s="14"/>
      <c r="P85" s="14"/>
      <c r="Q85" s="14">
        <f t="shared" si="7"/>
        <v>39996</v>
      </c>
    </row>
    <row r="86" spans="2:17">
      <c r="B86" s="6">
        <v>82</v>
      </c>
      <c r="C86" s="7">
        <v>17748</v>
      </c>
      <c r="D86" s="7">
        <v>40795</v>
      </c>
      <c r="E86" s="7">
        <v>35854</v>
      </c>
      <c r="F86" s="7">
        <v>21943</v>
      </c>
      <c r="G86" s="8">
        <v>0</v>
      </c>
      <c r="H86" s="7">
        <v>1980667</v>
      </c>
      <c r="I86" s="7">
        <v>2002610</v>
      </c>
      <c r="L86" s="15">
        <f t="shared" si="5"/>
        <v>82</v>
      </c>
      <c r="M86" s="13"/>
      <c r="N86" s="14">
        <f t="shared" si="6"/>
        <v>40795</v>
      </c>
      <c r="O86" s="14"/>
      <c r="P86" s="14"/>
      <c r="Q86" s="14">
        <f t="shared" si="7"/>
        <v>40795</v>
      </c>
    </row>
    <row r="87" spans="2:17">
      <c r="B87" s="6">
        <v>83</v>
      </c>
      <c r="C87" s="7">
        <v>17481</v>
      </c>
      <c r="D87" s="7">
        <v>41611</v>
      </c>
      <c r="E87" s="7">
        <v>35314</v>
      </c>
      <c r="F87" s="7">
        <v>21718</v>
      </c>
      <c r="G87" s="8">
        <v>0</v>
      </c>
      <c r="H87" s="7">
        <v>2069728</v>
      </c>
      <c r="I87" s="7">
        <v>2091446</v>
      </c>
      <c r="L87" s="15">
        <f t="shared" si="5"/>
        <v>83</v>
      </c>
      <c r="M87" s="13"/>
      <c r="N87" s="14">
        <f t="shared" si="6"/>
        <v>41611</v>
      </c>
      <c r="O87" s="14"/>
      <c r="P87" s="14"/>
      <c r="Q87" s="14">
        <f t="shared" si="7"/>
        <v>41611</v>
      </c>
    </row>
    <row r="88" spans="2:17">
      <c r="B88" s="6">
        <v>84</v>
      </c>
      <c r="C88" s="7">
        <v>17399</v>
      </c>
      <c r="D88" s="7">
        <v>42444</v>
      </c>
      <c r="E88" s="7">
        <v>34798</v>
      </c>
      <c r="F88" s="7">
        <v>21505</v>
      </c>
      <c r="G88" s="8">
        <v>0</v>
      </c>
      <c r="H88" s="7">
        <v>2163750</v>
      </c>
      <c r="I88" s="7">
        <v>2185255</v>
      </c>
      <c r="L88" s="15">
        <f t="shared" si="5"/>
        <v>84</v>
      </c>
      <c r="M88" s="13"/>
      <c r="N88" s="14">
        <f t="shared" si="6"/>
        <v>42444</v>
      </c>
      <c r="O88" s="14"/>
      <c r="P88" s="14"/>
      <c r="Q88" s="14">
        <f t="shared" si="7"/>
        <v>42444</v>
      </c>
    </row>
    <row r="89" spans="2:17">
      <c r="B89" s="9">
        <v>85</v>
      </c>
      <c r="C89" s="10">
        <v>17153</v>
      </c>
      <c r="D89" s="10">
        <v>43293</v>
      </c>
      <c r="E89" s="10">
        <v>34305</v>
      </c>
      <c r="F89" s="10">
        <v>21269</v>
      </c>
      <c r="G89" s="11">
        <v>0</v>
      </c>
      <c r="H89" s="10">
        <v>2262994</v>
      </c>
      <c r="I89" s="10">
        <v>2284264</v>
      </c>
      <c r="L89" s="15">
        <f t="shared" si="5"/>
        <v>85</v>
      </c>
      <c r="M89" s="13"/>
      <c r="N89" s="14">
        <f t="shared" si="6"/>
        <v>43293</v>
      </c>
      <c r="O89" s="14"/>
      <c r="P89" s="14"/>
      <c r="Q89" s="14">
        <f t="shared" si="7"/>
        <v>43293</v>
      </c>
    </row>
    <row r="90" spans="2:17">
      <c r="B90" s="3">
        <v>86</v>
      </c>
      <c r="C90" s="4">
        <v>16918</v>
      </c>
      <c r="D90" s="4">
        <v>44158</v>
      </c>
      <c r="E90" s="4">
        <v>33835</v>
      </c>
      <c r="F90" s="4">
        <v>21079</v>
      </c>
      <c r="G90" s="5">
        <v>0</v>
      </c>
      <c r="H90" s="4">
        <v>2367755</v>
      </c>
      <c r="I90" s="4">
        <v>2388834</v>
      </c>
      <c r="L90" s="15">
        <f t="shared" si="5"/>
        <v>86</v>
      </c>
      <c r="M90" s="13"/>
      <c r="N90" s="14">
        <f t="shared" si="6"/>
        <v>44158</v>
      </c>
      <c r="O90" s="14"/>
      <c r="P90" s="14"/>
      <c r="Q90" s="14">
        <f t="shared" si="7"/>
        <v>44158</v>
      </c>
    </row>
    <row r="91" spans="2:17">
      <c r="B91" s="6">
        <v>87</v>
      </c>
      <c r="C91" s="7">
        <v>16693</v>
      </c>
      <c r="D91" s="7">
        <v>45042</v>
      </c>
      <c r="E91" s="7">
        <v>33387</v>
      </c>
      <c r="F91" s="7">
        <v>20900</v>
      </c>
      <c r="G91" s="8">
        <v>0</v>
      </c>
      <c r="H91" s="7">
        <v>2478451</v>
      </c>
      <c r="I91" s="7">
        <v>2499351</v>
      </c>
      <c r="L91" s="15">
        <f t="shared" si="5"/>
        <v>87</v>
      </c>
      <c r="M91" s="13"/>
      <c r="N91" s="14">
        <f t="shared" si="6"/>
        <v>45042</v>
      </c>
      <c r="O91" s="14"/>
      <c r="P91" s="14"/>
      <c r="Q91" s="14">
        <f t="shared" si="7"/>
        <v>45042</v>
      </c>
    </row>
    <row r="92" spans="2:17">
      <c r="B92" s="6">
        <v>88</v>
      </c>
      <c r="C92" s="7">
        <v>16479</v>
      </c>
      <c r="D92" s="7">
        <v>45942</v>
      </c>
      <c r="E92" s="7">
        <v>32959</v>
      </c>
      <c r="F92" s="7">
        <v>20698</v>
      </c>
      <c r="G92" s="8">
        <v>0</v>
      </c>
      <c r="H92" s="7">
        <v>2595433</v>
      </c>
      <c r="I92" s="7">
        <v>2616131</v>
      </c>
      <c r="L92" s="15">
        <f t="shared" si="5"/>
        <v>88</v>
      </c>
      <c r="M92" s="13"/>
      <c r="N92" s="14">
        <f t="shared" si="6"/>
        <v>45942</v>
      </c>
      <c r="O92" s="14"/>
      <c r="P92" s="14"/>
      <c r="Q92" s="14">
        <f t="shared" si="7"/>
        <v>45942</v>
      </c>
    </row>
    <row r="93" spans="2:17">
      <c r="B93" s="6">
        <v>89</v>
      </c>
      <c r="C93" s="7">
        <v>16275</v>
      </c>
      <c r="D93" s="7">
        <v>46861</v>
      </c>
      <c r="E93" s="7">
        <v>32551</v>
      </c>
      <c r="F93" s="7">
        <v>20540</v>
      </c>
      <c r="G93" s="8">
        <v>0</v>
      </c>
      <c r="H93" s="7">
        <v>2719041</v>
      </c>
      <c r="I93" s="7">
        <v>2739581</v>
      </c>
      <c r="L93" s="15">
        <f t="shared" si="5"/>
        <v>89</v>
      </c>
      <c r="M93" s="13"/>
      <c r="N93" s="14">
        <f t="shared" si="6"/>
        <v>46861</v>
      </c>
      <c r="O93" s="14"/>
      <c r="P93" s="14"/>
      <c r="Q93" s="14">
        <f t="shared" si="7"/>
        <v>46861</v>
      </c>
    </row>
    <row r="94" spans="2:17">
      <c r="B94" s="9">
        <v>90</v>
      </c>
      <c r="C94" s="10">
        <v>16081</v>
      </c>
      <c r="D94" s="10">
        <v>47798</v>
      </c>
      <c r="E94" s="10">
        <v>32162</v>
      </c>
      <c r="F94" s="10">
        <v>20359</v>
      </c>
      <c r="G94" s="11">
        <v>0</v>
      </c>
      <c r="H94" s="10">
        <v>2849745</v>
      </c>
      <c r="I94" s="10">
        <v>2870104</v>
      </c>
      <c r="L94" s="15">
        <f t="shared" si="5"/>
        <v>90</v>
      </c>
      <c r="M94" s="13"/>
      <c r="N94" s="14">
        <f t="shared" si="6"/>
        <v>47798</v>
      </c>
      <c r="O94" s="14"/>
      <c r="P94" s="14"/>
      <c r="Q94" s="14">
        <f t="shared" si="7"/>
        <v>47798</v>
      </c>
    </row>
    <row r="95" spans="2:17">
      <c r="B95" s="3">
        <v>91</v>
      </c>
      <c r="C95" s="4">
        <v>15896</v>
      </c>
      <c r="D95" s="4">
        <v>48754</v>
      </c>
      <c r="E95" s="4">
        <v>31792</v>
      </c>
      <c r="F95" s="4">
        <v>20284</v>
      </c>
      <c r="G95" s="5">
        <v>0</v>
      </c>
      <c r="H95" s="4">
        <v>2987911</v>
      </c>
      <c r="I95" s="4">
        <v>3008194</v>
      </c>
      <c r="L95" s="15">
        <f t="shared" si="5"/>
        <v>91</v>
      </c>
      <c r="M95" s="13"/>
      <c r="N95" s="14">
        <f t="shared" si="6"/>
        <v>48754</v>
      </c>
      <c r="O95" s="14"/>
      <c r="P95" s="14"/>
      <c r="Q95" s="14">
        <f t="shared" si="7"/>
        <v>48754</v>
      </c>
    </row>
    <row r="96" spans="2:17">
      <c r="B96" s="6">
        <v>92</v>
      </c>
      <c r="C96" s="7">
        <v>15720</v>
      </c>
      <c r="D96" s="7">
        <v>49729</v>
      </c>
      <c r="E96" s="7">
        <v>31440</v>
      </c>
      <c r="F96" s="7">
        <v>20153</v>
      </c>
      <c r="G96" s="8">
        <v>0</v>
      </c>
      <c r="H96" s="7">
        <v>3134092</v>
      </c>
      <c r="I96" s="7">
        <v>3154245</v>
      </c>
      <c r="L96" s="15">
        <f t="shared" si="5"/>
        <v>92</v>
      </c>
      <c r="M96" s="13"/>
      <c r="N96" s="14">
        <f t="shared" si="6"/>
        <v>49729</v>
      </c>
      <c r="O96" s="14"/>
      <c r="P96" s="14"/>
      <c r="Q96" s="14">
        <f t="shared" si="7"/>
        <v>49729</v>
      </c>
    </row>
    <row r="97" spans="2:17">
      <c r="B97" s="6">
        <v>93</v>
      </c>
      <c r="C97" s="7">
        <v>15553</v>
      </c>
      <c r="D97" s="7">
        <v>50724</v>
      </c>
      <c r="E97" s="7">
        <v>31105</v>
      </c>
      <c r="F97" s="7">
        <v>20063</v>
      </c>
      <c r="G97" s="8">
        <v>0</v>
      </c>
      <c r="H97" s="7">
        <v>3288740</v>
      </c>
      <c r="I97" s="7">
        <v>3308803</v>
      </c>
      <c r="L97" s="15">
        <f t="shared" si="5"/>
        <v>93</v>
      </c>
      <c r="M97" s="13"/>
      <c r="N97" s="14">
        <f t="shared" si="6"/>
        <v>50724</v>
      </c>
      <c r="O97" s="14"/>
      <c r="P97" s="14"/>
      <c r="Q97" s="14">
        <f t="shared" si="7"/>
        <v>50724</v>
      </c>
    </row>
    <row r="98" spans="2:17">
      <c r="B98" s="6">
        <v>94</v>
      </c>
      <c r="C98" s="7">
        <v>15394</v>
      </c>
      <c r="D98" s="7">
        <v>51739</v>
      </c>
      <c r="E98" s="7">
        <v>30787</v>
      </c>
      <c r="F98" s="7">
        <v>19950</v>
      </c>
      <c r="G98" s="8">
        <v>0</v>
      </c>
      <c r="H98" s="7">
        <v>3452461</v>
      </c>
      <c r="I98" s="7">
        <v>3472411</v>
      </c>
      <c r="L98" s="15">
        <f t="shared" si="5"/>
        <v>94</v>
      </c>
      <c r="M98" s="13"/>
      <c r="N98" s="14">
        <f t="shared" si="6"/>
        <v>51739</v>
      </c>
      <c r="O98" s="14"/>
      <c r="P98" s="14"/>
      <c r="Q98" s="14">
        <f t="shared" si="7"/>
        <v>51739</v>
      </c>
    </row>
    <row r="99" spans="2:17">
      <c r="B99" s="9">
        <v>95</v>
      </c>
      <c r="C99" s="10">
        <v>15242</v>
      </c>
      <c r="D99" s="10">
        <v>52773</v>
      </c>
      <c r="E99" s="10">
        <v>30485</v>
      </c>
      <c r="F99" s="10">
        <v>19830</v>
      </c>
      <c r="G99" s="11">
        <v>0</v>
      </c>
      <c r="H99" s="10">
        <v>3625761</v>
      </c>
      <c r="I99" s="10">
        <v>3645591</v>
      </c>
      <c r="L99" s="15">
        <f t="shared" si="5"/>
        <v>95</v>
      </c>
      <c r="M99" s="13"/>
      <c r="N99" s="14">
        <f t="shared" si="6"/>
        <v>52773</v>
      </c>
      <c r="O99" s="14"/>
      <c r="P99" s="14"/>
      <c r="Q99" s="14">
        <f t="shared" si="7"/>
        <v>52773</v>
      </c>
    </row>
    <row r="100" spans="2:17">
      <c r="B100" s="3">
        <v>96</v>
      </c>
      <c r="C100" s="4">
        <v>15099</v>
      </c>
      <c r="D100" s="4">
        <v>53829</v>
      </c>
      <c r="E100" s="4">
        <v>30198</v>
      </c>
      <c r="F100" s="4">
        <v>19719</v>
      </c>
      <c r="G100" s="5">
        <v>0</v>
      </c>
      <c r="H100" s="4">
        <v>3809234</v>
      </c>
      <c r="I100" s="4">
        <v>3828953</v>
      </c>
      <c r="L100" s="15">
        <f t="shared" si="5"/>
        <v>96</v>
      </c>
      <c r="M100" s="13"/>
      <c r="N100" s="14">
        <f t="shared" si="6"/>
        <v>53829</v>
      </c>
      <c r="O100" s="14"/>
      <c r="P100" s="14"/>
      <c r="Q100" s="14">
        <f t="shared" si="7"/>
        <v>53829</v>
      </c>
    </row>
    <row r="101" spans="2:17">
      <c r="B101" s="6">
        <v>97</v>
      </c>
      <c r="C101" s="7">
        <v>14963</v>
      </c>
      <c r="D101" s="7">
        <v>54905</v>
      </c>
      <c r="E101" s="7">
        <v>29926</v>
      </c>
      <c r="F101" s="7">
        <v>19631</v>
      </c>
      <c r="G101" s="8">
        <v>0</v>
      </c>
      <c r="H101" s="7">
        <v>4003564</v>
      </c>
      <c r="I101" s="7">
        <v>4023195</v>
      </c>
      <c r="L101" s="15">
        <f t="shared" si="5"/>
        <v>97</v>
      </c>
      <c r="M101" s="13"/>
      <c r="N101" s="14">
        <f t="shared" si="6"/>
        <v>54905</v>
      </c>
      <c r="O101" s="14"/>
      <c r="P101" s="14"/>
      <c r="Q101" s="14">
        <f t="shared" si="7"/>
        <v>54905</v>
      </c>
    </row>
    <row r="102" spans="2:17">
      <c r="B102" s="6">
        <v>98</v>
      </c>
      <c r="C102" s="7">
        <v>14834</v>
      </c>
      <c r="D102" s="7">
        <v>56003</v>
      </c>
      <c r="E102" s="7">
        <v>29668</v>
      </c>
      <c r="F102" s="7">
        <v>19551</v>
      </c>
      <c r="G102" s="8">
        <v>0</v>
      </c>
      <c r="H102" s="7">
        <v>4209399</v>
      </c>
      <c r="I102" s="7">
        <v>4228950</v>
      </c>
      <c r="L102" s="15">
        <f t="shared" si="5"/>
        <v>98</v>
      </c>
      <c r="M102" s="13"/>
      <c r="N102" s="14">
        <f t="shared" si="6"/>
        <v>56003</v>
      </c>
      <c r="O102" s="14"/>
      <c r="P102" s="14"/>
      <c r="Q102" s="14">
        <f t="shared" si="7"/>
        <v>56003</v>
      </c>
    </row>
    <row r="103" spans="2:17">
      <c r="B103" s="6">
        <v>99</v>
      </c>
      <c r="C103" s="7">
        <v>14712</v>
      </c>
      <c r="D103" s="7">
        <v>57124</v>
      </c>
      <c r="E103" s="7">
        <v>29424</v>
      </c>
      <c r="F103" s="7">
        <v>19478</v>
      </c>
      <c r="G103" s="8">
        <v>0</v>
      </c>
      <c r="H103" s="7">
        <v>4427475</v>
      </c>
      <c r="I103" s="7">
        <v>4446954</v>
      </c>
      <c r="L103" s="15">
        <f t="shared" si="5"/>
        <v>99</v>
      </c>
      <c r="M103" s="13"/>
      <c r="N103" s="14">
        <f t="shared" si="6"/>
        <v>57124</v>
      </c>
      <c r="O103" s="14"/>
      <c r="P103" s="14"/>
      <c r="Q103" s="14">
        <f t="shared" si="7"/>
        <v>57124</v>
      </c>
    </row>
    <row r="104" spans="2:17">
      <c r="B104" s="9">
        <v>100</v>
      </c>
      <c r="C104" s="10">
        <v>14596</v>
      </c>
      <c r="D104" s="10">
        <v>58266</v>
      </c>
      <c r="E104" s="10">
        <v>29193</v>
      </c>
      <c r="F104" s="10">
        <v>19442</v>
      </c>
      <c r="G104" s="11">
        <v>0</v>
      </c>
      <c r="H104" s="10">
        <v>4658526</v>
      </c>
      <c r="I104" s="10">
        <v>4677968</v>
      </c>
      <c r="L104" s="15">
        <f t="shared" si="5"/>
        <v>100</v>
      </c>
      <c r="M104" s="13"/>
      <c r="N104" s="14">
        <f t="shared" si="6"/>
        <v>58266</v>
      </c>
      <c r="O104" s="14"/>
      <c r="P104" s="14">
        <f t="shared" ref="P104" si="8">I104</f>
        <v>4677968</v>
      </c>
      <c r="Q104" s="14">
        <f t="shared" si="7"/>
        <v>4736234</v>
      </c>
    </row>
    <row r="105" spans="2:17">
      <c r="P105" s="16" t="s">
        <v>4</v>
      </c>
      <c r="Q105" s="17">
        <f>IRR(Q4:Q104)</f>
        <v>6.3841472453835868E-2</v>
      </c>
    </row>
  </sheetData>
  <mergeCells count="8">
    <mergeCell ref="F1:I1"/>
    <mergeCell ref="G2:H2"/>
    <mergeCell ref="I2:I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3B6C0-00C0-F64C-A434-D03680FE2DE6}">
  <dimension ref="A1:T105"/>
  <sheetViews>
    <sheetView topLeftCell="K1" workbookViewId="0">
      <selection activeCell="U4" sqref="U4"/>
    </sheetView>
  </sheetViews>
  <sheetFormatPr baseColWidth="10" defaultRowHeight="16"/>
  <sheetData>
    <row r="1" spans="1:20">
      <c r="A1" s="34" t="s">
        <v>29</v>
      </c>
      <c r="B1" s="37" t="s">
        <v>7</v>
      </c>
      <c r="C1" s="38" t="s">
        <v>8</v>
      </c>
      <c r="D1" s="40" t="s">
        <v>22</v>
      </c>
      <c r="E1" s="42" t="s">
        <v>23</v>
      </c>
      <c r="F1" s="28" t="s">
        <v>24</v>
      </c>
      <c r="G1" s="29"/>
      <c r="H1" s="29"/>
      <c r="I1" s="30"/>
    </row>
    <row r="2" spans="1:20">
      <c r="A2" s="35"/>
      <c r="B2" s="35"/>
      <c r="C2" s="39"/>
      <c r="D2" s="41"/>
      <c r="E2" s="43"/>
      <c r="F2" s="1" t="s">
        <v>25</v>
      </c>
      <c r="G2" s="31" t="s">
        <v>12</v>
      </c>
      <c r="H2" s="32"/>
      <c r="I2" s="33" t="s">
        <v>13</v>
      </c>
    </row>
    <row r="3" spans="1:20" ht="30">
      <c r="A3" s="36"/>
      <c r="B3" s="36"/>
      <c r="C3" s="45"/>
      <c r="D3" s="46"/>
      <c r="E3" s="47"/>
      <c r="F3" s="2" t="s">
        <v>17</v>
      </c>
      <c r="G3" s="2" t="s">
        <v>18</v>
      </c>
      <c r="H3" s="2" t="s">
        <v>19</v>
      </c>
      <c r="I3" s="44"/>
      <c r="L3" s="13" t="s">
        <v>5</v>
      </c>
      <c r="M3" s="13" t="s">
        <v>0</v>
      </c>
      <c r="N3" s="13" t="s">
        <v>1</v>
      </c>
      <c r="O3" s="13" t="s">
        <v>26</v>
      </c>
      <c r="P3" s="13" t="s">
        <v>2</v>
      </c>
      <c r="Q3" s="13" t="s">
        <v>3</v>
      </c>
      <c r="T3" t="s">
        <v>27</v>
      </c>
    </row>
    <row r="4" spans="1:20">
      <c r="A4" s="18"/>
      <c r="B4" s="18"/>
      <c r="C4" s="23"/>
      <c r="D4" s="24"/>
      <c r="E4" s="25"/>
      <c r="F4" s="12"/>
      <c r="G4" s="12"/>
      <c r="H4" s="12"/>
      <c r="I4" s="26"/>
      <c r="L4" s="13">
        <v>0</v>
      </c>
      <c r="M4" s="14">
        <f>-C5</f>
        <v>-30000</v>
      </c>
      <c r="N4" s="13"/>
      <c r="O4" s="13"/>
      <c r="P4" s="13"/>
      <c r="Q4" s="14">
        <f>M4+N4+P4+O4</f>
        <v>-30000</v>
      </c>
      <c r="T4" s="27">
        <v>0.12</v>
      </c>
    </row>
    <row r="5" spans="1:20">
      <c r="A5" s="6">
        <f>不提取累积情况!A4</f>
        <v>68</v>
      </c>
      <c r="B5" s="3">
        <v>1</v>
      </c>
      <c r="C5" s="4">
        <v>30000</v>
      </c>
      <c r="D5" s="5">
        <v>0</v>
      </c>
      <c r="E5" s="4">
        <v>306436</v>
      </c>
      <c r="F5" s="5">
        <v>31</v>
      </c>
      <c r="G5" s="5">
        <v>0</v>
      </c>
      <c r="H5" s="5">
        <v>0</v>
      </c>
      <c r="I5" s="5">
        <v>31</v>
      </c>
      <c r="L5" s="15">
        <f>B5</f>
        <v>1</v>
      </c>
      <c r="M5" s="14">
        <f>M4</f>
        <v>-30000</v>
      </c>
      <c r="N5" s="13"/>
      <c r="O5" s="13">
        <f>C5*T4</f>
        <v>3600</v>
      </c>
      <c r="P5" s="13"/>
      <c r="Q5" s="14">
        <f t="shared" ref="Q5:Q68" si="0">M5+N5+P5+O5</f>
        <v>-26400</v>
      </c>
    </row>
    <row r="6" spans="1:20">
      <c r="A6" s="6">
        <f>不提取累积情况!A5</f>
        <v>69</v>
      </c>
      <c r="B6" s="6">
        <v>2</v>
      </c>
      <c r="C6" s="7">
        <v>60000</v>
      </c>
      <c r="D6" s="8">
        <v>0</v>
      </c>
      <c r="E6" s="7">
        <v>306436</v>
      </c>
      <c r="F6" s="8">
        <v>31</v>
      </c>
      <c r="G6" s="8">
        <v>0</v>
      </c>
      <c r="H6" s="8">
        <v>0</v>
      </c>
      <c r="I6" s="8">
        <v>31</v>
      </c>
      <c r="L6" s="15">
        <f>B6</f>
        <v>2</v>
      </c>
      <c r="M6" s="14">
        <f t="shared" ref="M6:M8" si="1">M5</f>
        <v>-30000</v>
      </c>
      <c r="N6" s="13"/>
      <c r="O6" s="13"/>
      <c r="P6" s="13"/>
      <c r="Q6" s="14">
        <f t="shared" si="0"/>
        <v>-30000</v>
      </c>
    </row>
    <row r="7" spans="1:20">
      <c r="A7" s="6">
        <f>不提取累积情况!A6</f>
        <v>70</v>
      </c>
      <c r="B7" s="6">
        <v>3</v>
      </c>
      <c r="C7" s="7">
        <v>90000</v>
      </c>
      <c r="D7" s="8">
        <v>0</v>
      </c>
      <c r="E7" s="7">
        <v>306436</v>
      </c>
      <c r="F7" s="7">
        <v>7967</v>
      </c>
      <c r="G7" s="7">
        <v>2482</v>
      </c>
      <c r="H7" s="7">
        <v>4634</v>
      </c>
      <c r="I7" s="7">
        <v>15083</v>
      </c>
      <c r="L7" s="15">
        <f t="shared" ref="L7:L70" si="2">B7</f>
        <v>3</v>
      </c>
      <c r="M7" s="14">
        <f t="shared" si="1"/>
        <v>-30000</v>
      </c>
      <c r="N7" s="13"/>
      <c r="O7" s="13"/>
      <c r="P7" s="13"/>
      <c r="Q7" s="14">
        <f t="shared" si="0"/>
        <v>-30000</v>
      </c>
    </row>
    <row r="8" spans="1:20">
      <c r="A8" s="6">
        <f>不提取累积情况!A7</f>
        <v>71</v>
      </c>
      <c r="B8" s="6">
        <v>4</v>
      </c>
      <c r="C8" s="7">
        <v>120000</v>
      </c>
      <c r="D8" s="8">
        <v>0</v>
      </c>
      <c r="E8" s="7">
        <v>306436</v>
      </c>
      <c r="F8" s="7">
        <v>22370</v>
      </c>
      <c r="G8" s="7">
        <v>5001</v>
      </c>
      <c r="H8" s="7">
        <v>10277</v>
      </c>
      <c r="I8" s="7">
        <v>37649</v>
      </c>
      <c r="L8" s="15">
        <f t="shared" si="2"/>
        <v>4</v>
      </c>
      <c r="M8" s="14">
        <f t="shared" si="1"/>
        <v>-30000</v>
      </c>
      <c r="N8" s="13"/>
      <c r="O8" s="13"/>
      <c r="P8" s="13"/>
      <c r="Q8" s="14">
        <f t="shared" si="0"/>
        <v>-30000</v>
      </c>
    </row>
    <row r="9" spans="1:20">
      <c r="A9" s="9">
        <f>不提取累积情况!A8</f>
        <v>72</v>
      </c>
      <c r="B9" s="9">
        <v>5</v>
      </c>
      <c r="C9" s="10">
        <v>150000</v>
      </c>
      <c r="D9" s="11">
        <v>0</v>
      </c>
      <c r="E9" s="10">
        <v>306436</v>
      </c>
      <c r="F9" s="10">
        <v>42288</v>
      </c>
      <c r="G9" s="10">
        <v>7559</v>
      </c>
      <c r="H9" s="10">
        <v>20410</v>
      </c>
      <c r="I9" s="10">
        <v>70256</v>
      </c>
      <c r="L9" s="15">
        <f t="shared" si="2"/>
        <v>5</v>
      </c>
      <c r="M9" s="13"/>
      <c r="N9" s="13"/>
      <c r="O9" s="13"/>
      <c r="P9" s="13"/>
      <c r="Q9" s="14">
        <f t="shared" si="0"/>
        <v>0</v>
      </c>
    </row>
    <row r="10" spans="1:20">
      <c r="A10" s="6">
        <f>不提取累积情况!A9</f>
        <v>73</v>
      </c>
      <c r="B10" s="3">
        <v>6</v>
      </c>
      <c r="C10" s="4">
        <v>150000</v>
      </c>
      <c r="D10" s="5">
        <v>0</v>
      </c>
      <c r="E10" s="4">
        <v>306436</v>
      </c>
      <c r="F10" s="4">
        <v>55771</v>
      </c>
      <c r="G10" s="4">
        <v>10154</v>
      </c>
      <c r="H10" s="4">
        <v>65534</v>
      </c>
      <c r="I10" s="4">
        <v>131460</v>
      </c>
      <c r="L10" s="15">
        <f t="shared" si="2"/>
        <v>6</v>
      </c>
      <c r="M10" s="13"/>
      <c r="N10" s="14">
        <f t="shared" ref="N10:N11" si="3">D10</f>
        <v>0</v>
      </c>
      <c r="O10" s="14"/>
      <c r="P10" s="13"/>
      <c r="Q10" s="14">
        <f t="shared" si="0"/>
        <v>0</v>
      </c>
    </row>
    <row r="11" spans="1:20">
      <c r="A11" s="6">
        <f>不提取累积情况!A10</f>
        <v>74</v>
      </c>
      <c r="B11" s="6">
        <v>7</v>
      </c>
      <c r="C11" s="7">
        <v>150000</v>
      </c>
      <c r="D11" s="8">
        <v>0</v>
      </c>
      <c r="E11" s="7">
        <v>306436</v>
      </c>
      <c r="F11" s="7">
        <v>68948</v>
      </c>
      <c r="G11" s="7">
        <v>12789</v>
      </c>
      <c r="H11" s="7">
        <v>69272</v>
      </c>
      <c r="I11" s="7">
        <v>151008</v>
      </c>
      <c r="L11" s="15">
        <f t="shared" si="2"/>
        <v>7</v>
      </c>
      <c r="M11" s="13"/>
      <c r="N11" s="14">
        <f t="shared" si="3"/>
        <v>0</v>
      </c>
      <c r="O11" s="14"/>
      <c r="P11" s="13"/>
      <c r="Q11" s="14">
        <f t="shared" si="0"/>
        <v>0</v>
      </c>
    </row>
    <row r="12" spans="1:20">
      <c r="A12" s="6">
        <f>不提取累积情况!A11</f>
        <v>75</v>
      </c>
      <c r="B12" s="6">
        <v>8</v>
      </c>
      <c r="C12" s="7">
        <v>150000</v>
      </c>
      <c r="D12" s="8">
        <v>0</v>
      </c>
      <c r="E12" s="7">
        <v>306436</v>
      </c>
      <c r="F12" s="7">
        <v>88866</v>
      </c>
      <c r="G12" s="7">
        <v>15463</v>
      </c>
      <c r="H12" s="7">
        <v>69852</v>
      </c>
      <c r="I12" s="7">
        <v>174181</v>
      </c>
      <c r="L12" s="15">
        <f t="shared" si="2"/>
        <v>8</v>
      </c>
      <c r="M12" s="13"/>
      <c r="N12" s="14">
        <f>D12</f>
        <v>0</v>
      </c>
      <c r="O12" s="14"/>
      <c r="P12" s="13"/>
      <c r="Q12" s="14">
        <f t="shared" si="0"/>
        <v>0</v>
      </c>
    </row>
    <row r="13" spans="1:20">
      <c r="A13" s="6">
        <f>不提取累积情况!A12</f>
        <v>76</v>
      </c>
      <c r="B13" s="6">
        <v>9</v>
      </c>
      <c r="C13" s="7">
        <v>150000</v>
      </c>
      <c r="D13" s="8">
        <v>0</v>
      </c>
      <c r="E13" s="7">
        <v>306436</v>
      </c>
      <c r="F13" s="7">
        <v>91624</v>
      </c>
      <c r="G13" s="7">
        <v>18177</v>
      </c>
      <c r="H13" s="7">
        <v>76284</v>
      </c>
      <c r="I13" s="7">
        <v>186085</v>
      </c>
      <c r="L13" s="15">
        <f t="shared" si="2"/>
        <v>9</v>
      </c>
      <c r="M13" s="13"/>
      <c r="N13" s="14">
        <f t="shared" ref="N13:N76" si="4">D13</f>
        <v>0</v>
      </c>
      <c r="O13" s="14"/>
      <c r="P13" s="13"/>
      <c r="Q13" s="14">
        <f t="shared" si="0"/>
        <v>0</v>
      </c>
    </row>
    <row r="14" spans="1:20">
      <c r="A14" s="9">
        <f>不提取累积情况!A13</f>
        <v>77</v>
      </c>
      <c r="B14" s="9">
        <v>10</v>
      </c>
      <c r="C14" s="10">
        <v>150000</v>
      </c>
      <c r="D14" s="11">
        <v>0</v>
      </c>
      <c r="E14" s="10">
        <v>306436</v>
      </c>
      <c r="F14" s="10">
        <v>94076</v>
      </c>
      <c r="G14" s="10">
        <v>18745</v>
      </c>
      <c r="H14" s="10">
        <v>83897</v>
      </c>
      <c r="I14" s="10">
        <v>196717</v>
      </c>
      <c r="L14" s="15">
        <f t="shared" si="2"/>
        <v>10</v>
      </c>
      <c r="M14" s="13"/>
      <c r="N14" s="14">
        <f t="shared" si="4"/>
        <v>0</v>
      </c>
      <c r="O14" s="14"/>
      <c r="P14" s="13"/>
      <c r="Q14" s="14">
        <f t="shared" si="0"/>
        <v>0</v>
      </c>
    </row>
    <row r="15" spans="1:20">
      <c r="A15" s="6">
        <f>不提取累积情况!A14</f>
        <v>78</v>
      </c>
      <c r="B15" s="3">
        <v>11</v>
      </c>
      <c r="C15" s="4">
        <v>150000</v>
      </c>
      <c r="D15" s="5">
        <v>0</v>
      </c>
      <c r="E15" s="4">
        <v>306436</v>
      </c>
      <c r="F15" s="4">
        <v>97140</v>
      </c>
      <c r="G15" s="4">
        <v>19326</v>
      </c>
      <c r="H15" s="4">
        <v>94471</v>
      </c>
      <c r="I15" s="4">
        <v>210938</v>
      </c>
      <c r="L15" s="15">
        <f t="shared" si="2"/>
        <v>11</v>
      </c>
      <c r="M15" s="13"/>
      <c r="N15" s="14">
        <f t="shared" si="4"/>
        <v>0</v>
      </c>
      <c r="O15" s="14"/>
      <c r="P15" s="13"/>
      <c r="Q15" s="14">
        <f t="shared" si="0"/>
        <v>0</v>
      </c>
    </row>
    <row r="16" spans="1:20">
      <c r="A16" s="6">
        <f>不提取累积情况!A15</f>
        <v>79</v>
      </c>
      <c r="B16" s="6">
        <v>12</v>
      </c>
      <c r="C16" s="7">
        <v>150000</v>
      </c>
      <c r="D16" s="8">
        <v>0</v>
      </c>
      <c r="E16" s="7">
        <v>306436</v>
      </c>
      <c r="F16" s="7">
        <v>99898</v>
      </c>
      <c r="G16" s="7">
        <v>19922</v>
      </c>
      <c r="H16" s="7">
        <v>106066</v>
      </c>
      <c r="I16" s="7">
        <v>225887</v>
      </c>
      <c r="L16" s="15">
        <f t="shared" si="2"/>
        <v>12</v>
      </c>
      <c r="M16" s="13"/>
      <c r="N16" s="14">
        <f t="shared" si="4"/>
        <v>0</v>
      </c>
      <c r="O16" s="14"/>
      <c r="P16" s="13"/>
      <c r="Q16" s="14">
        <f t="shared" si="0"/>
        <v>0</v>
      </c>
    </row>
    <row r="17" spans="1:17">
      <c r="A17" s="6">
        <f>不提取累积情况!A16</f>
        <v>80</v>
      </c>
      <c r="B17" s="6">
        <v>13</v>
      </c>
      <c r="C17" s="7">
        <v>150000</v>
      </c>
      <c r="D17" s="8">
        <v>0</v>
      </c>
      <c r="E17" s="7">
        <v>306436</v>
      </c>
      <c r="F17" s="7">
        <v>102962</v>
      </c>
      <c r="G17" s="7">
        <v>20533</v>
      </c>
      <c r="H17" s="7">
        <v>118363</v>
      </c>
      <c r="I17" s="7">
        <v>241858</v>
      </c>
      <c r="L17" s="15">
        <f t="shared" si="2"/>
        <v>13</v>
      </c>
      <c r="M17" s="13"/>
      <c r="N17" s="14">
        <f t="shared" si="4"/>
        <v>0</v>
      </c>
      <c r="O17" s="14"/>
      <c r="P17" s="13"/>
      <c r="Q17" s="14">
        <f t="shared" si="0"/>
        <v>0</v>
      </c>
    </row>
    <row r="18" spans="1:17">
      <c r="A18" s="6">
        <f>不提取累积情况!A17</f>
        <v>81</v>
      </c>
      <c r="B18" s="6">
        <v>14</v>
      </c>
      <c r="C18" s="7">
        <v>150000</v>
      </c>
      <c r="D18" s="8">
        <v>0</v>
      </c>
      <c r="E18" s="7">
        <v>306436</v>
      </c>
      <c r="F18" s="7">
        <v>106027</v>
      </c>
      <c r="G18" s="7">
        <v>21159</v>
      </c>
      <c r="H18" s="7">
        <v>132348</v>
      </c>
      <c r="I18" s="7">
        <v>259534</v>
      </c>
      <c r="L18" s="15">
        <f t="shared" si="2"/>
        <v>14</v>
      </c>
      <c r="M18" s="13"/>
      <c r="N18" s="14">
        <f t="shared" si="4"/>
        <v>0</v>
      </c>
      <c r="O18" s="14"/>
      <c r="P18" s="13"/>
      <c r="Q18" s="14">
        <f t="shared" si="0"/>
        <v>0</v>
      </c>
    </row>
    <row r="19" spans="1:17">
      <c r="A19" s="9">
        <f>不提取累积情况!A18</f>
        <v>82</v>
      </c>
      <c r="B19" s="9">
        <v>15</v>
      </c>
      <c r="C19" s="10">
        <v>150000</v>
      </c>
      <c r="D19" s="10">
        <v>14000</v>
      </c>
      <c r="E19" s="10">
        <v>306436</v>
      </c>
      <c r="F19" s="10">
        <v>109091</v>
      </c>
      <c r="G19" s="10">
        <v>12138</v>
      </c>
      <c r="H19" s="10">
        <v>143040</v>
      </c>
      <c r="I19" s="10">
        <v>264269</v>
      </c>
      <c r="L19" s="15">
        <f t="shared" si="2"/>
        <v>15</v>
      </c>
      <c r="M19" s="13"/>
      <c r="N19" s="14">
        <f t="shared" si="4"/>
        <v>14000</v>
      </c>
      <c r="O19" s="14"/>
      <c r="P19" s="13"/>
      <c r="Q19" s="14">
        <f t="shared" si="0"/>
        <v>14000</v>
      </c>
    </row>
    <row r="20" spans="1:17">
      <c r="A20" s="6">
        <f>不提取累积情况!A19</f>
        <v>83</v>
      </c>
      <c r="B20" s="3">
        <v>16</v>
      </c>
      <c r="C20" s="4">
        <v>150000</v>
      </c>
      <c r="D20" s="4">
        <v>14280</v>
      </c>
      <c r="E20" s="4">
        <v>306436</v>
      </c>
      <c r="F20" s="4">
        <v>116446</v>
      </c>
      <c r="G20" s="4">
        <v>2961</v>
      </c>
      <c r="H20" s="4">
        <v>150986</v>
      </c>
      <c r="I20" s="4">
        <v>270392</v>
      </c>
      <c r="L20" s="15">
        <f t="shared" si="2"/>
        <v>16</v>
      </c>
      <c r="M20" s="13"/>
      <c r="N20" s="14">
        <f t="shared" si="4"/>
        <v>14280</v>
      </c>
      <c r="O20" s="14"/>
      <c r="P20" s="13"/>
      <c r="Q20" s="14">
        <f t="shared" si="0"/>
        <v>14280</v>
      </c>
    </row>
    <row r="21" spans="1:17">
      <c r="A21" s="6">
        <f>不提取累积情况!A20</f>
        <v>84</v>
      </c>
      <c r="B21" s="6">
        <v>17</v>
      </c>
      <c r="C21" s="7">
        <v>144910</v>
      </c>
      <c r="D21" s="7">
        <v>14566</v>
      </c>
      <c r="E21" s="7">
        <v>296037</v>
      </c>
      <c r="F21" s="7">
        <v>119895</v>
      </c>
      <c r="G21" s="8">
        <v>0</v>
      </c>
      <c r="H21" s="7">
        <v>157195</v>
      </c>
      <c r="I21" s="7">
        <v>277090</v>
      </c>
      <c r="L21" s="15">
        <f t="shared" si="2"/>
        <v>17</v>
      </c>
      <c r="M21" s="13"/>
      <c r="N21" s="14">
        <f t="shared" si="4"/>
        <v>14566</v>
      </c>
      <c r="O21" s="14"/>
      <c r="P21" s="13"/>
      <c r="Q21" s="14">
        <f t="shared" si="0"/>
        <v>14566</v>
      </c>
    </row>
    <row r="22" spans="1:17">
      <c r="A22" s="6">
        <f>不提取累积情况!A21</f>
        <v>85</v>
      </c>
      <c r="B22" s="6">
        <v>18</v>
      </c>
      <c r="C22" s="7">
        <v>137874</v>
      </c>
      <c r="D22" s="7">
        <v>14857</v>
      </c>
      <c r="E22" s="7">
        <v>281663</v>
      </c>
      <c r="F22" s="7">
        <v>137733</v>
      </c>
      <c r="G22" s="8">
        <v>0</v>
      </c>
      <c r="H22" s="7">
        <v>149845</v>
      </c>
      <c r="I22" s="7">
        <v>287578</v>
      </c>
      <c r="L22" s="15">
        <f t="shared" si="2"/>
        <v>18</v>
      </c>
      <c r="M22" s="13"/>
      <c r="N22" s="14">
        <f t="shared" si="4"/>
        <v>14857</v>
      </c>
      <c r="O22" s="14"/>
      <c r="P22" s="13"/>
      <c r="Q22" s="14">
        <f t="shared" si="0"/>
        <v>14857</v>
      </c>
    </row>
    <row r="23" spans="1:17">
      <c r="A23" s="6">
        <f>不提取累积情况!A22</f>
        <v>86</v>
      </c>
      <c r="B23" s="6">
        <v>19</v>
      </c>
      <c r="C23" s="7">
        <v>131217</v>
      </c>
      <c r="D23" s="7">
        <v>15154</v>
      </c>
      <c r="E23" s="7">
        <v>268063</v>
      </c>
      <c r="F23" s="7">
        <v>132155</v>
      </c>
      <c r="G23" s="8">
        <v>0</v>
      </c>
      <c r="H23" s="7">
        <v>162983</v>
      </c>
      <c r="I23" s="7">
        <v>295138</v>
      </c>
      <c r="L23" s="15">
        <f t="shared" si="2"/>
        <v>19</v>
      </c>
      <c r="M23" s="13"/>
      <c r="N23" s="14">
        <f t="shared" si="4"/>
        <v>15154</v>
      </c>
      <c r="O23" s="14"/>
      <c r="P23" s="13"/>
      <c r="Q23" s="14">
        <f t="shared" si="0"/>
        <v>15154</v>
      </c>
    </row>
    <row r="24" spans="1:17">
      <c r="A24" s="9">
        <f>不提取累积情况!A23</f>
        <v>87</v>
      </c>
      <c r="B24" s="9">
        <v>20</v>
      </c>
      <c r="C24" s="10">
        <v>124891</v>
      </c>
      <c r="D24" s="10">
        <v>15457</v>
      </c>
      <c r="E24" s="10">
        <v>255140</v>
      </c>
      <c r="F24" s="10">
        <v>126039</v>
      </c>
      <c r="G24" s="11">
        <v>0</v>
      </c>
      <c r="H24" s="10">
        <v>175536</v>
      </c>
      <c r="I24" s="10">
        <v>301575</v>
      </c>
      <c r="L24" s="15">
        <f t="shared" si="2"/>
        <v>20</v>
      </c>
      <c r="M24" s="13"/>
      <c r="N24" s="14">
        <f t="shared" si="4"/>
        <v>15457</v>
      </c>
      <c r="O24" s="14"/>
      <c r="P24" s="13"/>
      <c r="Q24" s="14">
        <f t="shared" si="0"/>
        <v>15457</v>
      </c>
    </row>
    <row r="25" spans="1:17">
      <c r="A25" s="6">
        <f>不提取累积情况!A24</f>
        <v>88</v>
      </c>
      <c r="B25" s="3">
        <v>21</v>
      </c>
      <c r="C25" s="4">
        <v>119352</v>
      </c>
      <c r="D25" s="4">
        <v>15766</v>
      </c>
      <c r="E25" s="4">
        <v>243079</v>
      </c>
      <c r="F25" s="4">
        <v>120324</v>
      </c>
      <c r="G25" s="5">
        <v>0</v>
      </c>
      <c r="H25" s="4">
        <v>193734</v>
      </c>
      <c r="I25" s="4">
        <v>314058</v>
      </c>
      <c r="L25" s="15">
        <f t="shared" si="2"/>
        <v>21</v>
      </c>
      <c r="M25" s="13"/>
      <c r="N25" s="14">
        <f t="shared" si="4"/>
        <v>15766</v>
      </c>
      <c r="O25" s="14"/>
      <c r="P25" s="13"/>
      <c r="Q25" s="14">
        <f t="shared" si="0"/>
        <v>15766</v>
      </c>
    </row>
    <row r="26" spans="1:17">
      <c r="A26" s="6">
        <f>不提取累积情况!A25</f>
        <v>89</v>
      </c>
      <c r="B26" s="6">
        <v>22</v>
      </c>
      <c r="C26" s="7">
        <v>113808</v>
      </c>
      <c r="D26" s="7">
        <v>16082</v>
      </c>
      <c r="E26" s="7">
        <v>231789</v>
      </c>
      <c r="F26" s="7">
        <v>114967</v>
      </c>
      <c r="G26" s="8">
        <v>0</v>
      </c>
      <c r="H26" s="7">
        <v>211391</v>
      </c>
      <c r="I26" s="7">
        <v>326359</v>
      </c>
      <c r="L26" s="15">
        <f t="shared" si="2"/>
        <v>22</v>
      </c>
      <c r="M26" s="13"/>
      <c r="N26" s="14">
        <f t="shared" si="4"/>
        <v>16082</v>
      </c>
      <c r="O26" s="14"/>
      <c r="P26" s="13"/>
      <c r="Q26" s="14">
        <f t="shared" si="0"/>
        <v>16082</v>
      </c>
    </row>
    <row r="27" spans="1:17">
      <c r="A27" s="6">
        <f>不提取累积情况!A26</f>
        <v>90</v>
      </c>
      <c r="B27" s="6">
        <v>23</v>
      </c>
      <c r="C27" s="7">
        <v>108629</v>
      </c>
      <c r="D27" s="7">
        <v>16403</v>
      </c>
      <c r="E27" s="7">
        <v>221240</v>
      </c>
      <c r="F27" s="7">
        <v>109956</v>
      </c>
      <c r="G27" s="8">
        <v>0</v>
      </c>
      <c r="H27" s="7">
        <v>230089</v>
      </c>
      <c r="I27" s="7">
        <v>340046</v>
      </c>
      <c r="L27" s="15">
        <f t="shared" si="2"/>
        <v>23</v>
      </c>
      <c r="M27" s="13"/>
      <c r="N27" s="14">
        <f t="shared" si="4"/>
        <v>16403</v>
      </c>
      <c r="O27" s="14"/>
      <c r="P27" s="13"/>
      <c r="Q27" s="14">
        <f t="shared" si="0"/>
        <v>16403</v>
      </c>
    </row>
    <row r="28" spans="1:17">
      <c r="A28" s="6">
        <f>不提取累积情况!A27</f>
        <v>91</v>
      </c>
      <c r="B28" s="6">
        <v>24</v>
      </c>
      <c r="C28" s="7">
        <v>103731</v>
      </c>
      <c r="D28" s="7">
        <v>16731</v>
      </c>
      <c r="E28" s="7">
        <v>211264</v>
      </c>
      <c r="F28" s="7">
        <v>105210</v>
      </c>
      <c r="G28" s="8">
        <v>0</v>
      </c>
      <c r="H28" s="7">
        <v>245066</v>
      </c>
      <c r="I28" s="7">
        <v>350276</v>
      </c>
      <c r="L28" s="15">
        <f t="shared" si="2"/>
        <v>24</v>
      </c>
      <c r="M28" s="13"/>
      <c r="N28" s="14">
        <f t="shared" si="4"/>
        <v>16731</v>
      </c>
      <c r="O28" s="14"/>
      <c r="P28" s="13"/>
      <c r="Q28" s="14">
        <f t="shared" si="0"/>
        <v>16731</v>
      </c>
    </row>
    <row r="29" spans="1:17">
      <c r="A29" s="9">
        <f>不提取累积情况!A28</f>
        <v>92</v>
      </c>
      <c r="B29" s="9">
        <v>25</v>
      </c>
      <c r="C29" s="10">
        <v>99100</v>
      </c>
      <c r="D29" s="10">
        <v>17066</v>
      </c>
      <c r="E29" s="10">
        <v>201833</v>
      </c>
      <c r="F29" s="10">
        <v>100715</v>
      </c>
      <c r="G29" s="11">
        <v>0</v>
      </c>
      <c r="H29" s="10">
        <v>260364</v>
      </c>
      <c r="I29" s="10">
        <v>361079</v>
      </c>
      <c r="L29" s="15">
        <f t="shared" si="2"/>
        <v>25</v>
      </c>
      <c r="M29" s="13"/>
      <c r="N29" s="14">
        <f t="shared" si="4"/>
        <v>17066</v>
      </c>
      <c r="O29" s="14"/>
      <c r="P29" s="13"/>
      <c r="Q29" s="14">
        <f t="shared" si="0"/>
        <v>17066</v>
      </c>
    </row>
    <row r="30" spans="1:17">
      <c r="A30" s="6">
        <f>不提取累积情况!A29</f>
        <v>93</v>
      </c>
      <c r="B30" s="3">
        <v>26</v>
      </c>
      <c r="C30" s="4">
        <v>94719</v>
      </c>
      <c r="D30" s="4">
        <v>17407</v>
      </c>
      <c r="E30" s="4">
        <v>192911</v>
      </c>
      <c r="F30" s="4">
        <v>96455</v>
      </c>
      <c r="G30" s="5">
        <v>0</v>
      </c>
      <c r="H30" s="4">
        <v>275669</v>
      </c>
      <c r="I30" s="4">
        <v>372125</v>
      </c>
      <c r="L30" s="15">
        <f t="shared" si="2"/>
        <v>26</v>
      </c>
      <c r="M30" s="13"/>
      <c r="N30" s="14">
        <f t="shared" si="4"/>
        <v>17407</v>
      </c>
      <c r="O30" s="14"/>
      <c r="P30" s="13"/>
      <c r="Q30" s="14">
        <f t="shared" si="0"/>
        <v>17407</v>
      </c>
    </row>
    <row r="31" spans="1:17">
      <c r="A31" s="6">
        <f>不提取累积情况!A30</f>
        <v>94</v>
      </c>
      <c r="B31" s="6">
        <v>27</v>
      </c>
      <c r="C31" s="7">
        <v>90569</v>
      </c>
      <c r="D31" s="7">
        <v>17755</v>
      </c>
      <c r="E31" s="7">
        <v>184458</v>
      </c>
      <c r="F31" s="7">
        <v>92413</v>
      </c>
      <c r="G31" s="8">
        <v>0</v>
      </c>
      <c r="H31" s="7">
        <v>290706</v>
      </c>
      <c r="I31" s="7">
        <v>383119</v>
      </c>
      <c r="L31" s="15">
        <f t="shared" si="2"/>
        <v>27</v>
      </c>
      <c r="M31" s="13"/>
      <c r="N31" s="14">
        <f t="shared" si="4"/>
        <v>17755</v>
      </c>
      <c r="O31" s="14"/>
      <c r="P31" s="13"/>
      <c r="Q31" s="14">
        <f t="shared" si="0"/>
        <v>17755</v>
      </c>
    </row>
    <row r="32" spans="1:17">
      <c r="A32" s="6">
        <f>不提取累积情况!A31</f>
        <v>95</v>
      </c>
      <c r="B32" s="6">
        <v>28</v>
      </c>
      <c r="C32" s="7">
        <v>86602</v>
      </c>
      <c r="D32" s="7">
        <v>18110</v>
      </c>
      <c r="E32" s="7">
        <v>176380</v>
      </c>
      <c r="F32" s="7">
        <v>88543</v>
      </c>
      <c r="G32" s="8">
        <v>0</v>
      </c>
      <c r="H32" s="7">
        <v>302491</v>
      </c>
      <c r="I32" s="7">
        <v>391034</v>
      </c>
      <c r="L32" s="15">
        <f t="shared" si="2"/>
        <v>28</v>
      </c>
      <c r="M32" s="13"/>
      <c r="N32" s="14">
        <f t="shared" si="4"/>
        <v>18110</v>
      </c>
      <c r="O32" s="14"/>
      <c r="P32" s="13"/>
      <c r="Q32" s="14">
        <f t="shared" si="0"/>
        <v>18110</v>
      </c>
    </row>
    <row r="33" spans="1:17">
      <c r="A33" s="6">
        <f>不提取累积情况!A32</f>
        <v>96</v>
      </c>
      <c r="B33" s="6">
        <v>29</v>
      </c>
      <c r="C33" s="7">
        <v>82803</v>
      </c>
      <c r="D33" s="7">
        <v>18473</v>
      </c>
      <c r="E33" s="7">
        <v>168641</v>
      </c>
      <c r="F33" s="7">
        <v>84826</v>
      </c>
      <c r="G33" s="8">
        <v>0</v>
      </c>
      <c r="H33" s="7">
        <v>313335</v>
      </c>
      <c r="I33" s="7">
        <v>398161</v>
      </c>
      <c r="L33" s="15">
        <f t="shared" si="2"/>
        <v>29</v>
      </c>
      <c r="M33" s="13"/>
      <c r="N33" s="14">
        <f t="shared" si="4"/>
        <v>18473</v>
      </c>
      <c r="O33" s="14"/>
      <c r="P33" s="13"/>
      <c r="Q33" s="14">
        <f t="shared" si="0"/>
        <v>18473</v>
      </c>
    </row>
    <row r="34" spans="1:17">
      <c r="A34" s="6">
        <f>不提取累积情况!A33</f>
        <v>97</v>
      </c>
      <c r="B34" s="9">
        <v>30</v>
      </c>
      <c r="C34" s="10">
        <v>79227</v>
      </c>
      <c r="D34" s="10">
        <v>18842</v>
      </c>
      <c r="E34" s="10">
        <v>161358</v>
      </c>
      <c r="F34" s="10">
        <v>81325</v>
      </c>
      <c r="G34" s="11">
        <v>0</v>
      </c>
      <c r="H34" s="10">
        <v>331591</v>
      </c>
      <c r="I34" s="10">
        <v>412916</v>
      </c>
      <c r="L34" s="15">
        <f t="shared" si="2"/>
        <v>30</v>
      </c>
      <c r="M34" s="13"/>
      <c r="N34" s="14">
        <f t="shared" si="4"/>
        <v>18842</v>
      </c>
      <c r="O34" s="14"/>
      <c r="P34" s="13"/>
      <c r="Q34" s="14">
        <f t="shared" si="0"/>
        <v>18842</v>
      </c>
    </row>
    <row r="35" spans="1:17">
      <c r="A35" s="6">
        <f>不提取累积情况!A34</f>
        <v>98</v>
      </c>
      <c r="B35" s="3">
        <v>31</v>
      </c>
      <c r="C35" s="4">
        <v>75795</v>
      </c>
      <c r="D35" s="4">
        <v>19219</v>
      </c>
      <c r="E35" s="4">
        <v>154369</v>
      </c>
      <c r="F35" s="4">
        <v>77956</v>
      </c>
      <c r="G35" s="5">
        <v>0</v>
      </c>
      <c r="H35" s="4">
        <v>341927</v>
      </c>
      <c r="I35" s="4">
        <v>419883</v>
      </c>
      <c r="L35" s="15">
        <f t="shared" si="2"/>
        <v>31</v>
      </c>
      <c r="M35" s="13"/>
      <c r="N35" s="14">
        <f t="shared" si="4"/>
        <v>19219</v>
      </c>
      <c r="O35" s="14"/>
      <c r="P35" s="13"/>
      <c r="Q35" s="14">
        <f t="shared" si="0"/>
        <v>19219</v>
      </c>
    </row>
    <row r="36" spans="1:17">
      <c r="A36" s="6">
        <f>不提取累积情况!A35</f>
        <v>99</v>
      </c>
      <c r="B36" s="6">
        <v>32</v>
      </c>
      <c r="C36" s="7">
        <v>72722</v>
      </c>
      <c r="D36" s="7">
        <v>19603</v>
      </c>
      <c r="E36" s="7">
        <v>147658</v>
      </c>
      <c r="F36" s="7">
        <v>74715</v>
      </c>
      <c r="G36" s="8">
        <v>0</v>
      </c>
      <c r="H36" s="7">
        <v>352017</v>
      </c>
      <c r="I36" s="7">
        <v>426732</v>
      </c>
      <c r="L36" s="15">
        <f t="shared" si="2"/>
        <v>32</v>
      </c>
      <c r="M36" s="13"/>
      <c r="N36" s="14">
        <f t="shared" si="4"/>
        <v>19603</v>
      </c>
      <c r="O36" s="14"/>
      <c r="P36" s="13"/>
      <c r="Q36" s="14">
        <f t="shared" si="0"/>
        <v>19603</v>
      </c>
    </row>
    <row r="37" spans="1:17">
      <c r="A37" s="6">
        <f>不提取累积情况!A36</f>
        <v>100</v>
      </c>
      <c r="B37" s="6">
        <v>33</v>
      </c>
      <c r="C37" s="7">
        <v>69551</v>
      </c>
      <c r="D37" s="7">
        <v>19995</v>
      </c>
      <c r="E37" s="7">
        <v>141220</v>
      </c>
      <c r="F37" s="7">
        <v>71881</v>
      </c>
      <c r="G37" s="8">
        <v>0</v>
      </c>
      <c r="H37" s="7">
        <v>362088</v>
      </c>
      <c r="I37" s="7">
        <v>433969</v>
      </c>
      <c r="L37" s="15">
        <f t="shared" si="2"/>
        <v>33</v>
      </c>
      <c r="M37" s="13"/>
      <c r="N37" s="14">
        <f t="shared" si="4"/>
        <v>19995</v>
      </c>
      <c r="O37" s="14"/>
      <c r="P37" s="13"/>
      <c r="Q37" s="14">
        <f t="shared" si="0"/>
        <v>19995</v>
      </c>
    </row>
    <row r="38" spans="1:17">
      <c r="A38" s="6"/>
      <c r="B38" s="6">
        <v>34</v>
      </c>
      <c r="C38" s="7">
        <v>66508</v>
      </c>
      <c r="D38" s="7">
        <v>20395</v>
      </c>
      <c r="E38" s="7">
        <v>135042</v>
      </c>
      <c r="F38" s="7">
        <v>69142</v>
      </c>
      <c r="G38" s="8">
        <v>0</v>
      </c>
      <c r="H38" s="7">
        <v>372041</v>
      </c>
      <c r="I38" s="7">
        <v>441183</v>
      </c>
      <c r="L38" s="15">
        <f t="shared" si="2"/>
        <v>34</v>
      </c>
      <c r="M38" s="13"/>
      <c r="N38" s="14">
        <f t="shared" si="4"/>
        <v>20395</v>
      </c>
      <c r="O38" s="14"/>
      <c r="P38" s="13"/>
      <c r="Q38" s="14">
        <f t="shared" si="0"/>
        <v>20395</v>
      </c>
    </row>
    <row r="39" spans="1:17">
      <c r="A39" s="9"/>
      <c r="B39" s="9">
        <v>35</v>
      </c>
      <c r="C39" s="10">
        <v>63589</v>
      </c>
      <c r="D39" s="10">
        <v>20803</v>
      </c>
      <c r="E39" s="10">
        <v>129114</v>
      </c>
      <c r="F39" s="10">
        <v>66494</v>
      </c>
      <c r="G39" s="11">
        <v>0</v>
      </c>
      <c r="H39" s="10">
        <v>381918</v>
      </c>
      <c r="I39" s="10">
        <v>448412</v>
      </c>
      <c r="L39" s="15">
        <f t="shared" si="2"/>
        <v>35</v>
      </c>
      <c r="M39" s="13"/>
      <c r="N39" s="14">
        <f t="shared" si="4"/>
        <v>20803</v>
      </c>
      <c r="O39" s="14"/>
      <c r="P39" s="13"/>
      <c r="Q39" s="14">
        <f t="shared" si="0"/>
        <v>20803</v>
      </c>
    </row>
    <row r="40" spans="1:17">
      <c r="A40" s="3"/>
      <c r="B40" s="3">
        <v>36</v>
      </c>
      <c r="C40" s="4">
        <v>60787</v>
      </c>
      <c r="D40" s="4">
        <v>21219</v>
      </c>
      <c r="E40" s="4">
        <v>123425</v>
      </c>
      <c r="F40" s="4">
        <v>63811</v>
      </c>
      <c r="G40" s="5">
        <v>0</v>
      </c>
      <c r="H40" s="4">
        <v>391874</v>
      </c>
      <c r="I40" s="4">
        <v>455685</v>
      </c>
      <c r="L40" s="15">
        <f t="shared" si="2"/>
        <v>36</v>
      </c>
      <c r="M40" s="13"/>
      <c r="N40" s="14">
        <f t="shared" si="4"/>
        <v>21219</v>
      </c>
      <c r="O40" s="14"/>
      <c r="P40" s="13"/>
      <c r="Q40" s="14">
        <f t="shared" si="0"/>
        <v>21219</v>
      </c>
    </row>
    <row r="41" spans="1:17">
      <c r="A41" s="6"/>
      <c r="B41" s="6">
        <v>37</v>
      </c>
      <c r="C41" s="7">
        <v>58098</v>
      </c>
      <c r="D41" s="7">
        <v>21644</v>
      </c>
      <c r="E41" s="7">
        <v>117964</v>
      </c>
      <c r="F41" s="7">
        <v>61459</v>
      </c>
      <c r="G41" s="8">
        <v>0</v>
      </c>
      <c r="H41" s="7">
        <v>401433</v>
      </c>
      <c r="I41" s="7">
        <v>462892</v>
      </c>
      <c r="L41" s="15">
        <f t="shared" si="2"/>
        <v>37</v>
      </c>
      <c r="M41" s="13"/>
      <c r="N41" s="14">
        <f t="shared" si="4"/>
        <v>21644</v>
      </c>
      <c r="O41" s="14"/>
      <c r="P41" s="13"/>
      <c r="Q41" s="14">
        <f t="shared" si="0"/>
        <v>21644</v>
      </c>
    </row>
    <row r="42" spans="1:17">
      <c r="A42" s="6"/>
      <c r="B42" s="6">
        <v>38</v>
      </c>
      <c r="C42" s="7">
        <v>55517</v>
      </c>
      <c r="D42" s="7">
        <v>22077</v>
      </c>
      <c r="E42" s="7">
        <v>112724</v>
      </c>
      <c r="F42" s="7">
        <v>59180</v>
      </c>
      <c r="G42" s="8">
        <v>0</v>
      </c>
      <c r="H42" s="7">
        <v>410992</v>
      </c>
      <c r="I42" s="7">
        <v>470172</v>
      </c>
      <c r="L42" s="15">
        <f t="shared" si="2"/>
        <v>38</v>
      </c>
      <c r="M42" s="13"/>
      <c r="N42" s="14">
        <f t="shared" si="4"/>
        <v>22077</v>
      </c>
      <c r="O42" s="14"/>
      <c r="P42" s="13"/>
      <c r="Q42" s="14">
        <f t="shared" si="0"/>
        <v>22077</v>
      </c>
    </row>
    <row r="43" spans="1:17">
      <c r="A43" s="6"/>
      <c r="B43" s="6">
        <v>39</v>
      </c>
      <c r="C43" s="7">
        <v>53039</v>
      </c>
      <c r="D43" s="7">
        <v>22518</v>
      </c>
      <c r="E43" s="7">
        <v>107693</v>
      </c>
      <c r="F43" s="7">
        <v>56754</v>
      </c>
      <c r="G43" s="8">
        <v>0</v>
      </c>
      <c r="H43" s="7">
        <v>420542</v>
      </c>
      <c r="I43" s="7">
        <v>477296</v>
      </c>
      <c r="L43" s="15">
        <f t="shared" si="2"/>
        <v>39</v>
      </c>
      <c r="M43" s="13"/>
      <c r="N43" s="14">
        <f t="shared" si="4"/>
        <v>22518</v>
      </c>
      <c r="O43" s="14"/>
      <c r="P43" s="13"/>
      <c r="Q43" s="14">
        <f t="shared" si="0"/>
        <v>22518</v>
      </c>
    </row>
    <row r="44" spans="1:17">
      <c r="A44" s="9"/>
      <c r="B44" s="9">
        <v>40</v>
      </c>
      <c r="C44" s="10">
        <v>50897</v>
      </c>
      <c r="D44" s="10">
        <v>22968</v>
      </c>
      <c r="E44" s="10">
        <v>103343</v>
      </c>
      <c r="F44" s="10">
        <v>54958</v>
      </c>
      <c r="G44" s="11">
        <v>0</v>
      </c>
      <c r="H44" s="10">
        <v>431148</v>
      </c>
      <c r="I44" s="10">
        <v>486106</v>
      </c>
      <c r="L44" s="15">
        <f t="shared" si="2"/>
        <v>40</v>
      </c>
      <c r="M44" s="13"/>
      <c r="N44" s="14">
        <f t="shared" si="4"/>
        <v>22968</v>
      </c>
      <c r="O44" s="14"/>
      <c r="P44" s="13"/>
      <c r="Q44" s="14">
        <f t="shared" si="0"/>
        <v>22968</v>
      </c>
    </row>
    <row r="45" spans="1:17">
      <c r="A45" s="3"/>
      <c r="B45" s="3">
        <v>41</v>
      </c>
      <c r="C45" s="4">
        <v>48835</v>
      </c>
      <c r="D45" s="4">
        <v>23428</v>
      </c>
      <c r="E45" s="4">
        <v>99158</v>
      </c>
      <c r="F45" s="4">
        <v>52861</v>
      </c>
      <c r="G45" s="5">
        <v>0</v>
      </c>
      <c r="H45" s="4">
        <v>442045</v>
      </c>
      <c r="I45" s="4">
        <v>494906</v>
      </c>
      <c r="L45" s="15">
        <f t="shared" si="2"/>
        <v>41</v>
      </c>
      <c r="M45" s="13"/>
      <c r="N45" s="14">
        <f t="shared" si="4"/>
        <v>23428</v>
      </c>
      <c r="O45" s="14"/>
      <c r="P45" s="13"/>
      <c r="Q45" s="14">
        <f t="shared" si="0"/>
        <v>23428</v>
      </c>
    </row>
    <row r="46" spans="1:17">
      <c r="A46" s="6"/>
      <c r="B46" s="6">
        <v>42</v>
      </c>
      <c r="C46" s="7">
        <v>46853</v>
      </c>
      <c r="D46" s="7">
        <v>23896</v>
      </c>
      <c r="E46" s="7">
        <v>95132</v>
      </c>
      <c r="F46" s="7">
        <v>50839</v>
      </c>
      <c r="G46" s="8">
        <v>0</v>
      </c>
      <c r="H46" s="7">
        <v>453115</v>
      </c>
      <c r="I46" s="7">
        <v>503954</v>
      </c>
      <c r="L46" s="15">
        <f t="shared" si="2"/>
        <v>42</v>
      </c>
      <c r="M46" s="13"/>
      <c r="N46" s="14">
        <f t="shared" si="4"/>
        <v>23896</v>
      </c>
      <c r="O46" s="14"/>
      <c r="P46" s="13"/>
      <c r="Q46" s="14">
        <f t="shared" si="0"/>
        <v>23896</v>
      </c>
    </row>
    <row r="47" spans="1:17">
      <c r="A47" s="6"/>
      <c r="B47" s="6">
        <v>43</v>
      </c>
      <c r="C47" s="7">
        <v>44945</v>
      </c>
      <c r="D47" s="7">
        <v>24374</v>
      </c>
      <c r="E47" s="7">
        <v>91259</v>
      </c>
      <c r="F47" s="7">
        <v>48888</v>
      </c>
      <c r="G47" s="8">
        <v>0</v>
      </c>
      <c r="H47" s="7">
        <v>464053</v>
      </c>
      <c r="I47" s="7">
        <v>512941</v>
      </c>
      <c r="L47" s="15">
        <f t="shared" si="2"/>
        <v>43</v>
      </c>
      <c r="M47" s="13"/>
      <c r="N47" s="14">
        <f t="shared" si="4"/>
        <v>24374</v>
      </c>
      <c r="O47" s="14"/>
      <c r="P47" s="13"/>
      <c r="Q47" s="14">
        <f t="shared" si="0"/>
        <v>24374</v>
      </c>
    </row>
    <row r="48" spans="1:17">
      <c r="A48" s="6"/>
      <c r="B48" s="6">
        <v>44</v>
      </c>
      <c r="C48" s="7">
        <v>43110</v>
      </c>
      <c r="D48" s="7">
        <v>24862</v>
      </c>
      <c r="E48" s="7">
        <v>87534</v>
      </c>
      <c r="F48" s="7">
        <v>47006</v>
      </c>
      <c r="G48" s="8">
        <v>0</v>
      </c>
      <c r="H48" s="7">
        <v>475134</v>
      </c>
      <c r="I48" s="7">
        <v>522139</v>
      </c>
      <c r="L48" s="15">
        <f t="shared" si="2"/>
        <v>44</v>
      </c>
      <c r="M48" s="13"/>
      <c r="N48" s="14">
        <f t="shared" si="4"/>
        <v>24862</v>
      </c>
      <c r="O48" s="14"/>
      <c r="P48" s="13"/>
      <c r="Q48" s="14">
        <f t="shared" si="0"/>
        <v>24862</v>
      </c>
    </row>
    <row r="49" spans="1:17">
      <c r="A49" s="9"/>
      <c r="B49" s="9">
        <v>45</v>
      </c>
      <c r="C49" s="10">
        <v>41346</v>
      </c>
      <c r="D49" s="10">
        <v>25359</v>
      </c>
      <c r="E49" s="10">
        <v>83950</v>
      </c>
      <c r="F49" s="10">
        <v>45191</v>
      </c>
      <c r="G49" s="11">
        <v>0</v>
      </c>
      <c r="H49" s="10">
        <v>486241</v>
      </c>
      <c r="I49" s="10">
        <v>531432</v>
      </c>
      <c r="L49" s="15">
        <f t="shared" si="2"/>
        <v>45</v>
      </c>
      <c r="M49" s="13"/>
      <c r="N49" s="14">
        <f t="shared" si="4"/>
        <v>25359</v>
      </c>
      <c r="O49" s="14"/>
      <c r="P49" s="13"/>
      <c r="Q49" s="14">
        <f t="shared" si="0"/>
        <v>25359</v>
      </c>
    </row>
    <row r="50" spans="1:17">
      <c r="A50" s="3"/>
      <c r="B50" s="3">
        <v>46</v>
      </c>
      <c r="C50" s="4">
        <v>39648</v>
      </c>
      <c r="D50" s="4">
        <v>25866</v>
      </c>
      <c r="E50" s="4">
        <v>80504</v>
      </c>
      <c r="F50" s="4">
        <v>43440</v>
      </c>
      <c r="G50" s="5">
        <v>0</v>
      </c>
      <c r="H50" s="4">
        <v>497352</v>
      </c>
      <c r="I50" s="4">
        <v>540791</v>
      </c>
      <c r="L50" s="15">
        <f t="shared" si="2"/>
        <v>46</v>
      </c>
      <c r="M50" s="13"/>
      <c r="N50" s="14">
        <f t="shared" si="4"/>
        <v>25866</v>
      </c>
      <c r="O50" s="14"/>
      <c r="P50" s="13"/>
      <c r="Q50" s="14">
        <f t="shared" si="0"/>
        <v>25866</v>
      </c>
    </row>
    <row r="51" spans="1:17">
      <c r="A51" s="6"/>
      <c r="B51" s="6">
        <v>47</v>
      </c>
      <c r="C51" s="7">
        <v>38015</v>
      </c>
      <c r="D51" s="7">
        <v>26384</v>
      </c>
      <c r="E51" s="7">
        <v>77188</v>
      </c>
      <c r="F51" s="7">
        <v>41751</v>
      </c>
      <c r="G51" s="8">
        <v>0</v>
      </c>
      <c r="H51" s="7">
        <v>508436</v>
      </c>
      <c r="I51" s="7">
        <v>550187</v>
      </c>
      <c r="L51" s="15">
        <f t="shared" si="2"/>
        <v>47</v>
      </c>
      <c r="M51" s="13"/>
      <c r="N51" s="14">
        <f t="shared" si="4"/>
        <v>26384</v>
      </c>
      <c r="O51" s="14"/>
      <c r="P51" s="13"/>
      <c r="Q51" s="14">
        <f t="shared" si="0"/>
        <v>26384</v>
      </c>
    </row>
    <row r="52" spans="1:17">
      <c r="A52" s="6"/>
      <c r="B52" s="6">
        <v>48</v>
      </c>
      <c r="C52" s="7">
        <v>36629</v>
      </c>
      <c r="D52" s="7">
        <v>26911</v>
      </c>
      <c r="E52" s="7">
        <v>73998</v>
      </c>
      <c r="F52" s="7">
        <v>40181</v>
      </c>
      <c r="G52" s="8">
        <v>0</v>
      </c>
      <c r="H52" s="7">
        <v>519542</v>
      </c>
      <c r="I52" s="7">
        <v>559723</v>
      </c>
      <c r="L52" s="15">
        <f t="shared" si="2"/>
        <v>48</v>
      </c>
      <c r="M52" s="13"/>
      <c r="N52" s="14">
        <f t="shared" si="4"/>
        <v>26911</v>
      </c>
      <c r="O52" s="14"/>
      <c r="P52" s="13"/>
      <c r="Q52" s="14">
        <f t="shared" si="0"/>
        <v>26911</v>
      </c>
    </row>
    <row r="53" spans="1:17">
      <c r="A53" s="6"/>
      <c r="B53" s="6">
        <v>49</v>
      </c>
      <c r="C53" s="7">
        <v>35115</v>
      </c>
      <c r="D53" s="7">
        <v>27449</v>
      </c>
      <c r="E53" s="7">
        <v>70940</v>
      </c>
      <c r="F53" s="7">
        <v>38627</v>
      </c>
      <c r="G53" s="8">
        <v>0</v>
      </c>
      <c r="H53" s="7">
        <v>532332</v>
      </c>
      <c r="I53" s="7">
        <v>570958</v>
      </c>
      <c r="L53" s="15">
        <f t="shared" si="2"/>
        <v>49</v>
      </c>
      <c r="M53" s="13"/>
      <c r="N53" s="14">
        <f t="shared" si="4"/>
        <v>27449</v>
      </c>
      <c r="O53" s="14"/>
      <c r="P53" s="13"/>
      <c r="Q53" s="14">
        <f t="shared" si="0"/>
        <v>27449</v>
      </c>
    </row>
    <row r="54" spans="1:17">
      <c r="A54" s="9"/>
      <c r="B54" s="9">
        <v>50</v>
      </c>
      <c r="C54" s="10">
        <v>33658</v>
      </c>
      <c r="D54" s="10">
        <v>27998</v>
      </c>
      <c r="E54" s="10">
        <v>67996</v>
      </c>
      <c r="F54" s="10">
        <v>37126</v>
      </c>
      <c r="G54" s="11">
        <v>0</v>
      </c>
      <c r="H54" s="10">
        <v>543359</v>
      </c>
      <c r="I54" s="10">
        <v>580484</v>
      </c>
      <c r="L54" s="15">
        <f t="shared" si="2"/>
        <v>50</v>
      </c>
      <c r="M54" s="13"/>
      <c r="N54" s="14">
        <f t="shared" si="4"/>
        <v>27998</v>
      </c>
      <c r="O54" s="14"/>
      <c r="P54" s="13"/>
      <c r="Q54" s="14">
        <f t="shared" si="0"/>
        <v>27998</v>
      </c>
    </row>
    <row r="55" spans="1:17">
      <c r="A55" s="3"/>
      <c r="B55" s="3">
        <v>51</v>
      </c>
      <c r="C55" s="4">
        <v>32256</v>
      </c>
      <c r="D55" s="4">
        <v>28558</v>
      </c>
      <c r="E55" s="4">
        <v>65163</v>
      </c>
      <c r="F55" s="4">
        <v>35677</v>
      </c>
      <c r="G55" s="5">
        <v>0</v>
      </c>
      <c r="H55" s="4">
        <v>554278</v>
      </c>
      <c r="I55" s="4">
        <v>589955</v>
      </c>
      <c r="L55" s="15">
        <f t="shared" si="2"/>
        <v>51</v>
      </c>
      <c r="M55" s="13"/>
      <c r="N55" s="14">
        <f t="shared" si="4"/>
        <v>28558</v>
      </c>
      <c r="O55" s="14"/>
      <c r="P55" s="13"/>
      <c r="Q55" s="14">
        <f t="shared" si="0"/>
        <v>28558</v>
      </c>
    </row>
    <row r="56" spans="1:17">
      <c r="A56" s="6"/>
      <c r="B56" s="6">
        <v>52</v>
      </c>
      <c r="C56" s="7">
        <v>30906</v>
      </c>
      <c r="D56" s="7">
        <v>29130</v>
      </c>
      <c r="E56" s="7">
        <v>62436</v>
      </c>
      <c r="F56" s="7">
        <v>34278</v>
      </c>
      <c r="G56" s="8">
        <v>0</v>
      </c>
      <c r="H56" s="7">
        <v>565238</v>
      </c>
      <c r="I56" s="7">
        <v>599515</v>
      </c>
      <c r="L56" s="15">
        <f t="shared" si="2"/>
        <v>52</v>
      </c>
      <c r="M56" s="13"/>
      <c r="N56" s="14">
        <f t="shared" si="4"/>
        <v>29130</v>
      </c>
      <c r="O56" s="14"/>
      <c r="P56" s="13"/>
      <c r="Q56" s="14">
        <f t="shared" si="0"/>
        <v>29130</v>
      </c>
    </row>
    <row r="57" spans="1:17">
      <c r="A57" s="6"/>
      <c r="B57" s="6">
        <v>53</v>
      </c>
      <c r="C57" s="7">
        <v>29607</v>
      </c>
      <c r="D57" s="7">
        <v>29712</v>
      </c>
      <c r="E57" s="7">
        <v>59812</v>
      </c>
      <c r="F57" s="7">
        <v>32927</v>
      </c>
      <c r="G57" s="8">
        <v>0</v>
      </c>
      <c r="H57" s="7">
        <v>576171</v>
      </c>
      <c r="I57" s="7">
        <v>609097</v>
      </c>
      <c r="L57" s="15">
        <f t="shared" si="2"/>
        <v>53</v>
      </c>
      <c r="M57" s="13"/>
      <c r="N57" s="14">
        <f t="shared" si="4"/>
        <v>29712</v>
      </c>
      <c r="O57" s="14"/>
      <c r="P57" s="13"/>
      <c r="Q57" s="14">
        <f t="shared" si="0"/>
        <v>29712</v>
      </c>
    </row>
    <row r="58" spans="1:17">
      <c r="A58" s="6"/>
      <c r="B58" s="6">
        <v>54</v>
      </c>
      <c r="C58" s="7">
        <v>28357</v>
      </c>
      <c r="D58" s="7">
        <v>30306</v>
      </c>
      <c r="E58" s="7">
        <v>57287</v>
      </c>
      <c r="F58" s="7">
        <v>31680</v>
      </c>
      <c r="G58" s="8">
        <v>0</v>
      </c>
      <c r="H58" s="7">
        <v>587073</v>
      </c>
      <c r="I58" s="7">
        <v>618753</v>
      </c>
      <c r="L58" s="15">
        <f t="shared" si="2"/>
        <v>54</v>
      </c>
      <c r="M58" s="13"/>
      <c r="N58" s="14">
        <f t="shared" si="4"/>
        <v>30306</v>
      </c>
      <c r="O58" s="14"/>
      <c r="P58" s="13"/>
      <c r="Q58" s="14">
        <f t="shared" si="0"/>
        <v>30306</v>
      </c>
    </row>
    <row r="59" spans="1:17">
      <c r="A59" s="9"/>
      <c r="B59" s="9">
        <v>55</v>
      </c>
      <c r="C59" s="10">
        <v>27154</v>
      </c>
      <c r="D59" s="10">
        <v>30913</v>
      </c>
      <c r="E59" s="10">
        <v>54856</v>
      </c>
      <c r="F59" s="10">
        <v>30417</v>
      </c>
      <c r="G59" s="11">
        <v>0</v>
      </c>
      <c r="H59" s="10">
        <v>597927</v>
      </c>
      <c r="I59" s="10">
        <v>628344</v>
      </c>
      <c r="L59" s="15">
        <f t="shared" si="2"/>
        <v>55</v>
      </c>
      <c r="M59" s="13"/>
      <c r="N59" s="14">
        <f t="shared" si="4"/>
        <v>30913</v>
      </c>
      <c r="O59" s="14"/>
      <c r="P59" s="13"/>
      <c r="Q59" s="14">
        <f t="shared" si="0"/>
        <v>30913</v>
      </c>
    </row>
    <row r="60" spans="1:17">
      <c r="A60" s="3"/>
      <c r="B60" s="3">
        <v>56</v>
      </c>
      <c r="C60" s="4">
        <v>25995</v>
      </c>
      <c r="D60" s="4">
        <v>31531</v>
      </c>
      <c r="E60" s="4">
        <v>52516</v>
      </c>
      <c r="F60" s="4">
        <v>29199</v>
      </c>
      <c r="G60" s="5">
        <v>0</v>
      </c>
      <c r="H60" s="4">
        <v>608765</v>
      </c>
      <c r="I60" s="4">
        <v>637964</v>
      </c>
      <c r="L60" s="15">
        <f t="shared" si="2"/>
        <v>56</v>
      </c>
      <c r="M60" s="13"/>
      <c r="N60" s="14">
        <f t="shared" si="4"/>
        <v>31531</v>
      </c>
      <c r="O60" s="14"/>
      <c r="P60" s="13"/>
      <c r="Q60" s="14">
        <f t="shared" si="0"/>
        <v>31531</v>
      </c>
    </row>
    <row r="61" spans="1:17">
      <c r="A61" s="9"/>
      <c r="B61" s="6">
        <v>57</v>
      </c>
      <c r="C61" s="7">
        <v>24881</v>
      </c>
      <c r="D61" s="7">
        <v>32161</v>
      </c>
      <c r="E61" s="7">
        <v>50264</v>
      </c>
      <c r="F61" s="7">
        <v>28022</v>
      </c>
      <c r="G61" s="8">
        <v>0</v>
      </c>
      <c r="H61" s="7">
        <v>619556</v>
      </c>
      <c r="I61" s="7">
        <v>647578</v>
      </c>
      <c r="L61" s="15">
        <f t="shared" si="2"/>
        <v>57</v>
      </c>
      <c r="M61" s="13"/>
      <c r="N61" s="14">
        <f t="shared" si="4"/>
        <v>32161</v>
      </c>
      <c r="O61" s="14"/>
      <c r="P61" s="13"/>
      <c r="Q61" s="14">
        <f t="shared" si="0"/>
        <v>32161</v>
      </c>
    </row>
    <row r="62" spans="1:17">
      <c r="B62" s="6">
        <v>58</v>
      </c>
      <c r="C62" s="7">
        <v>23808</v>
      </c>
      <c r="D62" s="7">
        <v>32805</v>
      </c>
      <c r="E62" s="7">
        <v>48097</v>
      </c>
      <c r="F62" s="7">
        <v>26886</v>
      </c>
      <c r="G62" s="8">
        <v>0</v>
      </c>
      <c r="H62" s="7">
        <v>630308</v>
      </c>
      <c r="I62" s="7">
        <v>657195</v>
      </c>
      <c r="L62" s="15">
        <f t="shared" si="2"/>
        <v>58</v>
      </c>
      <c r="M62" s="13"/>
      <c r="N62" s="14">
        <f t="shared" si="4"/>
        <v>32805</v>
      </c>
      <c r="O62" s="14"/>
      <c r="P62" s="13"/>
      <c r="Q62" s="14">
        <f t="shared" si="0"/>
        <v>32805</v>
      </c>
    </row>
    <row r="63" spans="1:17">
      <c r="B63" s="6">
        <v>59</v>
      </c>
      <c r="C63" s="7">
        <v>22775</v>
      </c>
      <c r="D63" s="7">
        <v>33461</v>
      </c>
      <c r="E63" s="7">
        <v>46011</v>
      </c>
      <c r="F63" s="7">
        <v>25789</v>
      </c>
      <c r="G63" s="8">
        <v>0</v>
      </c>
      <c r="H63" s="7">
        <v>640928</v>
      </c>
      <c r="I63" s="7">
        <v>666717</v>
      </c>
      <c r="L63" s="15">
        <f t="shared" si="2"/>
        <v>59</v>
      </c>
      <c r="M63" s="13"/>
      <c r="N63" s="14">
        <f t="shared" si="4"/>
        <v>33461</v>
      </c>
      <c r="O63" s="14"/>
      <c r="P63" s="13"/>
      <c r="Q63" s="14">
        <f t="shared" si="0"/>
        <v>33461</v>
      </c>
    </row>
    <row r="64" spans="1:17">
      <c r="B64" s="9">
        <v>60</v>
      </c>
      <c r="C64" s="10">
        <v>21781</v>
      </c>
      <c r="D64" s="10">
        <v>34130</v>
      </c>
      <c r="E64" s="10">
        <v>44003</v>
      </c>
      <c r="F64" s="10">
        <v>24729</v>
      </c>
      <c r="G64" s="11">
        <v>0</v>
      </c>
      <c r="H64" s="10">
        <v>651458</v>
      </c>
      <c r="I64" s="10">
        <v>676188</v>
      </c>
      <c r="L64" s="15">
        <f t="shared" si="2"/>
        <v>60</v>
      </c>
      <c r="M64" s="13"/>
      <c r="N64" s="14">
        <f t="shared" si="4"/>
        <v>34130</v>
      </c>
      <c r="O64" s="14"/>
      <c r="P64" s="13"/>
      <c r="Q64" s="14">
        <f t="shared" si="0"/>
        <v>34130</v>
      </c>
    </row>
    <row r="65" spans="2:17">
      <c r="B65" s="3">
        <v>61</v>
      </c>
      <c r="C65" s="4">
        <v>20825</v>
      </c>
      <c r="D65" s="4">
        <v>34813</v>
      </c>
      <c r="E65" s="4">
        <v>42070</v>
      </c>
      <c r="F65" s="4">
        <v>23706</v>
      </c>
      <c r="G65" s="5">
        <v>0</v>
      </c>
      <c r="H65" s="4">
        <v>661882</v>
      </c>
      <c r="I65" s="4">
        <v>685588</v>
      </c>
      <c r="L65" s="15">
        <f t="shared" si="2"/>
        <v>61</v>
      </c>
      <c r="M65" s="13"/>
      <c r="N65" s="14">
        <f t="shared" si="4"/>
        <v>34813</v>
      </c>
      <c r="O65" s="14"/>
      <c r="P65" s="13"/>
      <c r="Q65" s="14">
        <f t="shared" si="0"/>
        <v>34813</v>
      </c>
    </row>
    <row r="66" spans="2:17">
      <c r="B66" s="6">
        <v>62</v>
      </c>
      <c r="C66" s="7">
        <v>19904</v>
      </c>
      <c r="D66" s="7">
        <v>35509</v>
      </c>
      <c r="E66" s="7">
        <v>40209</v>
      </c>
      <c r="F66" s="7">
        <v>22718</v>
      </c>
      <c r="G66" s="8">
        <v>0</v>
      </c>
      <c r="H66" s="7">
        <v>672217</v>
      </c>
      <c r="I66" s="7">
        <v>694935</v>
      </c>
      <c r="L66" s="15">
        <f t="shared" si="2"/>
        <v>62</v>
      </c>
      <c r="M66" s="13"/>
      <c r="N66" s="14">
        <f t="shared" si="4"/>
        <v>35509</v>
      </c>
      <c r="O66" s="14"/>
      <c r="P66" s="13"/>
      <c r="Q66" s="14">
        <f t="shared" si="0"/>
        <v>35509</v>
      </c>
    </row>
    <row r="67" spans="2:17">
      <c r="B67" s="6">
        <v>63</v>
      </c>
      <c r="C67" s="7">
        <v>19017</v>
      </c>
      <c r="D67" s="7">
        <v>36219</v>
      </c>
      <c r="E67" s="7">
        <v>38418</v>
      </c>
      <c r="F67" s="7">
        <v>21783</v>
      </c>
      <c r="G67" s="8">
        <v>0</v>
      </c>
      <c r="H67" s="7">
        <v>682346</v>
      </c>
      <c r="I67" s="7">
        <v>704130</v>
      </c>
      <c r="L67" s="15">
        <f t="shared" si="2"/>
        <v>63</v>
      </c>
      <c r="M67" s="13"/>
      <c r="N67" s="14">
        <f t="shared" si="4"/>
        <v>36219</v>
      </c>
      <c r="O67" s="14"/>
      <c r="P67" s="13"/>
      <c r="Q67" s="14">
        <f t="shared" si="0"/>
        <v>36219</v>
      </c>
    </row>
    <row r="68" spans="2:17">
      <c r="B68" s="6">
        <v>64</v>
      </c>
      <c r="C68" s="7">
        <v>18164</v>
      </c>
      <c r="D68" s="7">
        <v>36943</v>
      </c>
      <c r="E68" s="7">
        <v>36694</v>
      </c>
      <c r="F68" s="7">
        <v>20879</v>
      </c>
      <c r="G68" s="8">
        <v>0</v>
      </c>
      <c r="H68" s="7">
        <v>692310</v>
      </c>
      <c r="I68" s="7">
        <v>713189</v>
      </c>
      <c r="L68" s="15">
        <f t="shared" si="2"/>
        <v>64</v>
      </c>
      <c r="M68" s="13"/>
      <c r="N68" s="14">
        <f t="shared" si="4"/>
        <v>36943</v>
      </c>
      <c r="O68" s="14"/>
      <c r="P68" s="13"/>
      <c r="Q68" s="14">
        <f t="shared" si="0"/>
        <v>36943</v>
      </c>
    </row>
    <row r="69" spans="2:17">
      <c r="B69" s="9">
        <v>65</v>
      </c>
      <c r="C69" s="10">
        <v>17342</v>
      </c>
      <c r="D69" s="10">
        <v>37682</v>
      </c>
      <c r="E69" s="10">
        <v>35035</v>
      </c>
      <c r="F69" s="10">
        <v>20005</v>
      </c>
      <c r="G69" s="11">
        <v>0</v>
      </c>
      <c r="H69" s="10">
        <v>702129</v>
      </c>
      <c r="I69" s="10">
        <v>722133</v>
      </c>
      <c r="L69" s="15">
        <f t="shared" si="2"/>
        <v>65</v>
      </c>
      <c r="M69" s="13"/>
      <c r="N69" s="14">
        <f t="shared" si="4"/>
        <v>37682</v>
      </c>
      <c r="O69" s="14"/>
      <c r="P69" s="13"/>
      <c r="Q69" s="14">
        <f t="shared" ref="Q69:Q103" si="5">M69+N69+P69+O69</f>
        <v>37682</v>
      </c>
    </row>
    <row r="70" spans="2:17">
      <c r="B70" s="3">
        <v>66</v>
      </c>
      <c r="C70" s="4">
        <v>16718</v>
      </c>
      <c r="D70" s="4">
        <v>38436</v>
      </c>
      <c r="E70" s="4">
        <v>33437</v>
      </c>
      <c r="F70" s="4">
        <v>19159</v>
      </c>
      <c r="G70" s="5">
        <v>0</v>
      </c>
      <c r="H70" s="4">
        <v>711705</v>
      </c>
      <c r="I70" s="4">
        <v>730864</v>
      </c>
      <c r="L70" s="15">
        <f t="shared" si="2"/>
        <v>66</v>
      </c>
      <c r="M70" s="13"/>
      <c r="N70" s="14">
        <f t="shared" si="4"/>
        <v>38436</v>
      </c>
      <c r="O70" s="14"/>
      <c r="P70" s="13"/>
      <c r="Q70" s="14">
        <f t="shared" si="5"/>
        <v>38436</v>
      </c>
    </row>
    <row r="71" spans="2:17">
      <c r="B71" s="6">
        <v>67</v>
      </c>
      <c r="C71" s="7">
        <v>15949</v>
      </c>
      <c r="D71" s="7">
        <v>39205</v>
      </c>
      <c r="E71" s="7">
        <v>31899</v>
      </c>
      <c r="F71" s="7">
        <v>18342</v>
      </c>
      <c r="G71" s="8">
        <v>0</v>
      </c>
      <c r="H71" s="7">
        <v>721039</v>
      </c>
      <c r="I71" s="7">
        <v>739381</v>
      </c>
      <c r="L71" s="15">
        <f t="shared" ref="L71:L104" si="6">B71</f>
        <v>67</v>
      </c>
      <c r="M71" s="13"/>
      <c r="N71" s="14">
        <f t="shared" si="4"/>
        <v>39205</v>
      </c>
      <c r="O71" s="14"/>
      <c r="P71" s="13"/>
      <c r="Q71" s="14">
        <f t="shared" si="5"/>
        <v>39205</v>
      </c>
    </row>
    <row r="72" spans="2:17">
      <c r="B72" s="6">
        <v>68</v>
      </c>
      <c r="C72" s="7">
        <v>15209</v>
      </c>
      <c r="D72" s="7">
        <v>39989</v>
      </c>
      <c r="E72" s="7">
        <v>30418</v>
      </c>
      <c r="F72" s="7">
        <v>17582</v>
      </c>
      <c r="G72" s="8">
        <v>0</v>
      </c>
      <c r="H72" s="7">
        <v>730089</v>
      </c>
      <c r="I72" s="7">
        <v>747671</v>
      </c>
      <c r="L72" s="15">
        <f t="shared" si="6"/>
        <v>68</v>
      </c>
      <c r="M72" s="13"/>
      <c r="N72" s="14">
        <f t="shared" si="4"/>
        <v>39989</v>
      </c>
      <c r="O72" s="14"/>
      <c r="P72" s="13"/>
      <c r="Q72" s="14">
        <f t="shared" si="5"/>
        <v>39989</v>
      </c>
    </row>
    <row r="73" spans="2:17">
      <c r="B73" s="6">
        <v>69</v>
      </c>
      <c r="C73" s="7">
        <v>14496</v>
      </c>
      <c r="D73" s="7">
        <v>40788</v>
      </c>
      <c r="E73" s="7">
        <v>28992</v>
      </c>
      <c r="F73" s="7">
        <v>16804</v>
      </c>
      <c r="G73" s="8">
        <v>0</v>
      </c>
      <c r="H73" s="7">
        <v>738862</v>
      </c>
      <c r="I73" s="7">
        <v>755666</v>
      </c>
      <c r="L73" s="15">
        <f t="shared" si="6"/>
        <v>69</v>
      </c>
      <c r="M73" s="13"/>
      <c r="N73" s="14">
        <f t="shared" si="4"/>
        <v>40788</v>
      </c>
      <c r="O73" s="14"/>
      <c r="P73" s="13"/>
      <c r="Q73" s="14">
        <f t="shared" si="5"/>
        <v>40788</v>
      </c>
    </row>
    <row r="74" spans="2:17">
      <c r="B74" s="9">
        <v>70</v>
      </c>
      <c r="C74" s="10">
        <v>13810</v>
      </c>
      <c r="D74" s="10">
        <v>41604</v>
      </c>
      <c r="E74" s="10">
        <v>27619</v>
      </c>
      <c r="F74" s="10">
        <v>16074</v>
      </c>
      <c r="G74" s="11">
        <v>0</v>
      </c>
      <c r="H74" s="10">
        <v>747322</v>
      </c>
      <c r="I74" s="10">
        <v>763397</v>
      </c>
      <c r="L74" s="15">
        <f t="shared" si="6"/>
        <v>70</v>
      </c>
      <c r="M74" s="13"/>
      <c r="N74" s="14">
        <f t="shared" si="4"/>
        <v>41604</v>
      </c>
      <c r="O74" s="14"/>
      <c r="P74" s="13"/>
      <c r="Q74" s="14">
        <f t="shared" si="5"/>
        <v>41604</v>
      </c>
    </row>
    <row r="75" spans="2:17">
      <c r="B75" s="3">
        <v>71</v>
      </c>
      <c r="C75" s="4">
        <v>13149</v>
      </c>
      <c r="D75" s="4">
        <v>42436</v>
      </c>
      <c r="E75" s="4">
        <v>26297</v>
      </c>
      <c r="F75" s="4">
        <v>15384</v>
      </c>
      <c r="G75" s="5">
        <v>0</v>
      </c>
      <c r="H75" s="4">
        <v>755395</v>
      </c>
      <c r="I75" s="4">
        <v>770780</v>
      </c>
      <c r="L75" s="15">
        <f t="shared" si="6"/>
        <v>71</v>
      </c>
      <c r="M75" s="13"/>
      <c r="N75" s="14">
        <f t="shared" si="4"/>
        <v>42436</v>
      </c>
      <c r="O75" s="14"/>
      <c r="P75" s="13"/>
      <c r="Q75" s="14">
        <f t="shared" si="5"/>
        <v>42436</v>
      </c>
    </row>
    <row r="76" spans="2:17">
      <c r="B76" s="6">
        <v>72</v>
      </c>
      <c r="C76" s="7">
        <v>12512</v>
      </c>
      <c r="D76" s="7">
        <v>43285</v>
      </c>
      <c r="E76" s="7">
        <v>25025</v>
      </c>
      <c r="F76" s="7">
        <v>14690</v>
      </c>
      <c r="G76" s="8">
        <v>0</v>
      </c>
      <c r="H76" s="7">
        <v>763078</v>
      </c>
      <c r="I76" s="7">
        <v>777768</v>
      </c>
      <c r="L76" s="15">
        <f t="shared" si="6"/>
        <v>72</v>
      </c>
      <c r="M76" s="13"/>
      <c r="N76" s="14">
        <f t="shared" si="4"/>
        <v>43285</v>
      </c>
      <c r="O76" s="14"/>
      <c r="P76" s="13"/>
      <c r="Q76" s="14">
        <f t="shared" si="5"/>
        <v>43285</v>
      </c>
    </row>
    <row r="77" spans="2:17">
      <c r="B77" s="6">
        <v>73</v>
      </c>
      <c r="C77" s="7">
        <v>11900</v>
      </c>
      <c r="D77" s="7">
        <v>44151</v>
      </c>
      <c r="E77" s="7">
        <v>23799</v>
      </c>
      <c r="F77" s="7">
        <v>14041</v>
      </c>
      <c r="G77" s="8">
        <v>0</v>
      </c>
      <c r="H77" s="7">
        <v>770329</v>
      </c>
      <c r="I77" s="7">
        <v>784371</v>
      </c>
      <c r="L77" s="15">
        <f t="shared" si="6"/>
        <v>73</v>
      </c>
      <c r="M77" s="13"/>
      <c r="N77" s="14">
        <f t="shared" ref="N77:N104" si="7">D77</f>
        <v>44151</v>
      </c>
      <c r="O77" s="14"/>
      <c r="P77" s="13"/>
      <c r="Q77" s="14">
        <f t="shared" si="5"/>
        <v>44151</v>
      </c>
    </row>
    <row r="78" spans="2:17">
      <c r="B78" s="6">
        <v>74</v>
      </c>
      <c r="C78" s="7">
        <v>11309</v>
      </c>
      <c r="D78" s="7">
        <v>45034</v>
      </c>
      <c r="E78" s="7">
        <v>22619</v>
      </c>
      <c r="F78" s="7">
        <v>13390</v>
      </c>
      <c r="G78" s="8">
        <v>0</v>
      </c>
      <c r="H78" s="7">
        <v>777093</v>
      </c>
      <c r="I78" s="7">
        <v>790484</v>
      </c>
      <c r="L78" s="15">
        <f t="shared" si="6"/>
        <v>74</v>
      </c>
      <c r="M78" s="13"/>
      <c r="N78" s="14">
        <f t="shared" si="7"/>
        <v>45034</v>
      </c>
      <c r="O78" s="14"/>
      <c r="P78" s="13"/>
      <c r="Q78" s="14">
        <f t="shared" si="5"/>
        <v>45034</v>
      </c>
    </row>
    <row r="79" spans="2:17">
      <c r="B79" s="9">
        <v>75</v>
      </c>
      <c r="C79" s="10">
        <v>10741</v>
      </c>
      <c r="D79" s="10">
        <v>45934</v>
      </c>
      <c r="E79" s="10">
        <v>21482</v>
      </c>
      <c r="F79" s="10">
        <v>12760</v>
      </c>
      <c r="G79" s="11">
        <v>0</v>
      </c>
      <c r="H79" s="10">
        <v>783328</v>
      </c>
      <c r="I79" s="10">
        <v>796089</v>
      </c>
      <c r="L79" s="15">
        <f t="shared" si="6"/>
        <v>75</v>
      </c>
      <c r="M79" s="13"/>
      <c r="N79" s="14">
        <f t="shared" si="7"/>
        <v>45934</v>
      </c>
      <c r="O79" s="14"/>
      <c r="P79" s="13"/>
      <c r="Q79" s="14">
        <f t="shared" si="5"/>
        <v>45934</v>
      </c>
    </row>
    <row r="80" spans="2:17">
      <c r="B80" s="3">
        <v>76</v>
      </c>
      <c r="C80" s="4">
        <v>10194</v>
      </c>
      <c r="D80" s="4">
        <v>46853</v>
      </c>
      <c r="E80" s="4">
        <v>20388</v>
      </c>
      <c r="F80" s="4">
        <v>12151</v>
      </c>
      <c r="G80" s="5">
        <v>0</v>
      </c>
      <c r="H80" s="4">
        <v>789000</v>
      </c>
      <c r="I80" s="4">
        <v>801151</v>
      </c>
      <c r="L80" s="15">
        <f t="shared" si="6"/>
        <v>76</v>
      </c>
      <c r="M80" s="13"/>
      <c r="N80" s="14">
        <f t="shared" si="7"/>
        <v>46853</v>
      </c>
      <c r="O80" s="14"/>
      <c r="P80" s="13"/>
      <c r="Q80" s="14">
        <f t="shared" si="5"/>
        <v>46853</v>
      </c>
    </row>
    <row r="81" spans="2:17">
      <c r="B81" s="6">
        <v>77</v>
      </c>
      <c r="C81" s="7">
        <v>9667</v>
      </c>
      <c r="D81" s="7">
        <v>47790</v>
      </c>
      <c r="E81" s="7">
        <v>19333</v>
      </c>
      <c r="F81" s="7">
        <v>11581</v>
      </c>
      <c r="G81" s="8">
        <v>0</v>
      </c>
      <c r="H81" s="7">
        <v>793999</v>
      </c>
      <c r="I81" s="7">
        <v>805580</v>
      </c>
      <c r="L81" s="15">
        <f t="shared" si="6"/>
        <v>77</v>
      </c>
      <c r="M81" s="13"/>
      <c r="N81" s="14">
        <f t="shared" si="7"/>
        <v>47790</v>
      </c>
      <c r="O81" s="14"/>
      <c r="P81" s="13"/>
      <c r="Q81" s="14">
        <f t="shared" si="5"/>
        <v>47790</v>
      </c>
    </row>
    <row r="82" spans="2:17">
      <c r="B82" s="6">
        <v>78</v>
      </c>
      <c r="C82" s="7">
        <v>9159</v>
      </c>
      <c r="D82" s="7">
        <v>48746</v>
      </c>
      <c r="E82" s="7">
        <v>18318</v>
      </c>
      <c r="F82" s="7">
        <v>11027</v>
      </c>
      <c r="G82" s="8">
        <v>0</v>
      </c>
      <c r="H82" s="7">
        <v>798328</v>
      </c>
      <c r="I82" s="7">
        <v>809355</v>
      </c>
      <c r="L82" s="15">
        <f t="shared" si="6"/>
        <v>78</v>
      </c>
      <c r="M82" s="13"/>
      <c r="N82" s="14">
        <f t="shared" si="7"/>
        <v>48746</v>
      </c>
      <c r="O82" s="14"/>
      <c r="P82" s="13"/>
      <c r="Q82" s="14">
        <f t="shared" si="5"/>
        <v>48746</v>
      </c>
    </row>
    <row r="83" spans="2:17">
      <c r="B83" s="6">
        <v>79</v>
      </c>
      <c r="C83" s="7">
        <v>8670</v>
      </c>
      <c r="D83" s="7">
        <v>49721</v>
      </c>
      <c r="E83" s="7">
        <v>17340</v>
      </c>
      <c r="F83" s="7">
        <v>10473</v>
      </c>
      <c r="G83" s="8">
        <v>0</v>
      </c>
      <c r="H83" s="7">
        <v>801891</v>
      </c>
      <c r="I83" s="7">
        <v>812364</v>
      </c>
      <c r="L83" s="15">
        <f t="shared" si="6"/>
        <v>79</v>
      </c>
      <c r="M83" s="13"/>
      <c r="N83" s="14">
        <f t="shared" si="7"/>
        <v>49721</v>
      </c>
      <c r="O83" s="14"/>
      <c r="P83" s="13"/>
      <c r="Q83" s="14">
        <f t="shared" si="5"/>
        <v>49721</v>
      </c>
    </row>
    <row r="84" spans="2:17">
      <c r="B84" s="9">
        <v>80</v>
      </c>
      <c r="C84" s="10">
        <v>8199</v>
      </c>
      <c r="D84" s="10">
        <v>50715</v>
      </c>
      <c r="E84" s="10">
        <v>16397</v>
      </c>
      <c r="F84" s="10">
        <v>9953</v>
      </c>
      <c r="G84" s="11">
        <v>0</v>
      </c>
      <c r="H84" s="10">
        <v>804639</v>
      </c>
      <c r="I84" s="10">
        <v>814592</v>
      </c>
      <c r="L84" s="15">
        <f t="shared" si="6"/>
        <v>80</v>
      </c>
      <c r="M84" s="13"/>
      <c r="N84" s="14">
        <f t="shared" si="7"/>
        <v>50715</v>
      </c>
      <c r="O84" s="14"/>
      <c r="P84" s="13"/>
      <c r="Q84" s="14">
        <f t="shared" si="5"/>
        <v>50715</v>
      </c>
    </row>
    <row r="85" spans="2:17">
      <c r="B85" s="3">
        <v>81</v>
      </c>
      <c r="C85" s="4">
        <v>7745</v>
      </c>
      <c r="D85" s="4">
        <v>51730</v>
      </c>
      <c r="E85" s="4">
        <v>15490</v>
      </c>
      <c r="F85" s="4">
        <v>9449</v>
      </c>
      <c r="G85" s="5">
        <v>0</v>
      </c>
      <c r="H85" s="4">
        <v>806489</v>
      </c>
      <c r="I85" s="4">
        <v>815937</v>
      </c>
      <c r="L85" s="15">
        <f t="shared" si="6"/>
        <v>81</v>
      </c>
      <c r="M85" s="13"/>
      <c r="N85" s="14">
        <f t="shared" si="7"/>
        <v>51730</v>
      </c>
      <c r="O85" s="14"/>
      <c r="P85" s="13"/>
      <c r="Q85" s="14">
        <f t="shared" si="5"/>
        <v>51730</v>
      </c>
    </row>
    <row r="86" spans="2:17">
      <c r="B86" s="6">
        <v>82</v>
      </c>
      <c r="C86" s="7">
        <v>7308</v>
      </c>
      <c r="D86" s="7">
        <v>52764</v>
      </c>
      <c r="E86" s="7">
        <v>14615</v>
      </c>
      <c r="F86" s="7">
        <v>8945</v>
      </c>
      <c r="G86" s="8">
        <v>0</v>
      </c>
      <c r="H86" s="7">
        <v>807376</v>
      </c>
      <c r="I86" s="7">
        <v>816320</v>
      </c>
      <c r="L86" s="15">
        <f t="shared" si="6"/>
        <v>82</v>
      </c>
      <c r="M86" s="13"/>
      <c r="N86" s="14">
        <f t="shared" si="7"/>
        <v>52764</v>
      </c>
      <c r="O86" s="14"/>
      <c r="P86" s="13"/>
      <c r="Q86" s="14">
        <f t="shared" si="5"/>
        <v>52764</v>
      </c>
    </row>
    <row r="87" spans="2:17">
      <c r="B87" s="6">
        <v>83</v>
      </c>
      <c r="C87" s="7">
        <v>6886</v>
      </c>
      <c r="D87" s="7">
        <v>53820</v>
      </c>
      <c r="E87" s="7">
        <v>13773</v>
      </c>
      <c r="F87" s="7">
        <v>8470</v>
      </c>
      <c r="G87" s="8">
        <v>0</v>
      </c>
      <c r="H87" s="7">
        <v>807204</v>
      </c>
      <c r="I87" s="7">
        <v>815674</v>
      </c>
      <c r="L87" s="15">
        <f t="shared" si="6"/>
        <v>83</v>
      </c>
      <c r="M87" s="13"/>
      <c r="N87" s="14">
        <f t="shared" si="7"/>
        <v>53820</v>
      </c>
      <c r="O87" s="14"/>
      <c r="P87" s="13"/>
      <c r="Q87" s="14">
        <f t="shared" si="5"/>
        <v>53820</v>
      </c>
    </row>
    <row r="88" spans="2:17">
      <c r="B88" s="6">
        <v>84</v>
      </c>
      <c r="C88" s="7">
        <v>6480</v>
      </c>
      <c r="D88" s="7">
        <v>54896</v>
      </c>
      <c r="E88" s="7">
        <v>12961</v>
      </c>
      <c r="F88" s="7">
        <v>8010</v>
      </c>
      <c r="G88" s="8">
        <v>0</v>
      </c>
      <c r="H88" s="7">
        <v>805907</v>
      </c>
      <c r="I88" s="7">
        <v>813917</v>
      </c>
      <c r="L88" s="15">
        <f t="shared" si="6"/>
        <v>84</v>
      </c>
      <c r="M88" s="13"/>
      <c r="N88" s="14">
        <f t="shared" si="7"/>
        <v>54896</v>
      </c>
      <c r="O88" s="14"/>
      <c r="P88" s="13"/>
      <c r="Q88" s="14">
        <f t="shared" si="5"/>
        <v>54896</v>
      </c>
    </row>
    <row r="89" spans="2:17">
      <c r="B89" s="9">
        <v>85</v>
      </c>
      <c r="C89" s="10">
        <v>6089</v>
      </c>
      <c r="D89" s="10">
        <v>55994</v>
      </c>
      <c r="E89" s="10">
        <v>12179</v>
      </c>
      <c r="F89" s="10">
        <v>7551</v>
      </c>
      <c r="G89" s="11">
        <v>0</v>
      </c>
      <c r="H89" s="10">
        <v>803374</v>
      </c>
      <c r="I89" s="10">
        <v>810925</v>
      </c>
      <c r="L89" s="15">
        <f t="shared" si="6"/>
        <v>85</v>
      </c>
      <c r="M89" s="13"/>
      <c r="N89" s="14">
        <f t="shared" si="7"/>
        <v>55994</v>
      </c>
      <c r="O89" s="14"/>
      <c r="P89" s="13"/>
      <c r="Q89" s="14">
        <f t="shared" si="5"/>
        <v>55994</v>
      </c>
    </row>
    <row r="90" spans="2:17">
      <c r="B90" s="3">
        <v>86</v>
      </c>
      <c r="C90" s="4">
        <v>5712</v>
      </c>
      <c r="D90" s="4">
        <v>57114</v>
      </c>
      <c r="E90" s="4">
        <v>11425</v>
      </c>
      <c r="F90" s="4">
        <v>7118</v>
      </c>
      <c r="G90" s="5">
        <v>0</v>
      </c>
      <c r="H90" s="4">
        <v>799492</v>
      </c>
      <c r="I90" s="4">
        <v>806610</v>
      </c>
      <c r="L90" s="15">
        <f t="shared" si="6"/>
        <v>86</v>
      </c>
      <c r="M90" s="13"/>
      <c r="N90" s="14">
        <f t="shared" si="7"/>
        <v>57114</v>
      </c>
      <c r="O90" s="14"/>
      <c r="P90" s="13"/>
      <c r="Q90" s="14">
        <f t="shared" si="5"/>
        <v>57114</v>
      </c>
    </row>
    <row r="91" spans="2:17">
      <c r="B91" s="6">
        <v>87</v>
      </c>
      <c r="C91" s="7">
        <v>5349</v>
      </c>
      <c r="D91" s="7">
        <v>58256</v>
      </c>
      <c r="E91" s="7">
        <v>10698</v>
      </c>
      <c r="F91" s="7">
        <v>6697</v>
      </c>
      <c r="G91" s="8">
        <v>0</v>
      </c>
      <c r="H91" s="7">
        <v>794183</v>
      </c>
      <c r="I91" s="7">
        <v>800880</v>
      </c>
      <c r="L91" s="15">
        <f t="shared" si="6"/>
        <v>87</v>
      </c>
      <c r="M91" s="13"/>
      <c r="N91" s="14">
        <f t="shared" si="7"/>
        <v>58256</v>
      </c>
      <c r="O91" s="14"/>
      <c r="P91" s="13"/>
      <c r="Q91" s="14">
        <f t="shared" si="5"/>
        <v>58256</v>
      </c>
    </row>
    <row r="92" spans="2:17">
      <c r="B92" s="6">
        <v>88</v>
      </c>
      <c r="C92" s="7">
        <v>4999</v>
      </c>
      <c r="D92" s="7">
        <v>59421</v>
      </c>
      <c r="E92" s="7">
        <v>9998</v>
      </c>
      <c r="F92" s="7">
        <v>6279</v>
      </c>
      <c r="G92" s="8">
        <v>0</v>
      </c>
      <c r="H92" s="7">
        <v>787322</v>
      </c>
      <c r="I92" s="7">
        <v>793601</v>
      </c>
      <c r="L92" s="15">
        <f t="shared" si="6"/>
        <v>88</v>
      </c>
      <c r="M92" s="13"/>
      <c r="N92" s="14">
        <f t="shared" si="7"/>
        <v>59421</v>
      </c>
      <c r="O92" s="14"/>
      <c r="P92" s="13"/>
      <c r="Q92" s="14">
        <f t="shared" si="5"/>
        <v>59421</v>
      </c>
    </row>
    <row r="93" spans="2:17">
      <c r="B93" s="6">
        <v>89</v>
      </c>
      <c r="C93" s="7">
        <v>4662</v>
      </c>
      <c r="D93" s="7">
        <v>60610</v>
      </c>
      <c r="E93" s="7">
        <v>9323</v>
      </c>
      <c r="F93" s="7">
        <v>5883</v>
      </c>
      <c r="G93" s="8">
        <v>0</v>
      </c>
      <c r="H93" s="7">
        <v>778771</v>
      </c>
      <c r="I93" s="7">
        <v>784654</v>
      </c>
      <c r="L93" s="15">
        <f t="shared" si="6"/>
        <v>89</v>
      </c>
      <c r="M93" s="13"/>
      <c r="N93" s="14">
        <f t="shared" si="7"/>
        <v>60610</v>
      </c>
      <c r="O93" s="14"/>
      <c r="P93" s="13"/>
      <c r="Q93" s="14">
        <f t="shared" si="5"/>
        <v>60610</v>
      </c>
    </row>
    <row r="94" spans="2:17">
      <c r="B94" s="9">
        <v>90</v>
      </c>
      <c r="C94" s="10">
        <v>4336</v>
      </c>
      <c r="D94" s="10">
        <v>61822</v>
      </c>
      <c r="E94" s="10">
        <v>8672</v>
      </c>
      <c r="F94" s="10">
        <v>5490</v>
      </c>
      <c r="G94" s="11">
        <v>0</v>
      </c>
      <c r="H94" s="10">
        <v>768416</v>
      </c>
      <c r="I94" s="10">
        <v>773906</v>
      </c>
      <c r="L94" s="15">
        <f t="shared" si="6"/>
        <v>90</v>
      </c>
      <c r="M94" s="13"/>
      <c r="N94" s="14">
        <f t="shared" si="7"/>
        <v>61822</v>
      </c>
      <c r="O94" s="14"/>
      <c r="P94" s="13"/>
      <c r="Q94" s="14">
        <f t="shared" si="5"/>
        <v>61822</v>
      </c>
    </row>
    <row r="95" spans="2:17">
      <c r="B95" s="3">
        <v>91</v>
      </c>
      <c r="C95" s="4">
        <v>4023</v>
      </c>
      <c r="D95" s="4">
        <v>63058</v>
      </c>
      <c r="E95" s="4">
        <v>8045</v>
      </c>
      <c r="F95" s="4">
        <v>5133</v>
      </c>
      <c r="G95" s="5">
        <v>0</v>
      </c>
      <c r="H95" s="4">
        <v>756096</v>
      </c>
      <c r="I95" s="4">
        <v>761229</v>
      </c>
      <c r="L95" s="15">
        <f t="shared" si="6"/>
        <v>91</v>
      </c>
      <c r="M95" s="13"/>
      <c r="N95" s="14">
        <f t="shared" si="7"/>
        <v>63058</v>
      </c>
      <c r="O95" s="14"/>
      <c r="P95" s="13"/>
      <c r="Q95" s="14">
        <f t="shared" si="5"/>
        <v>63058</v>
      </c>
    </row>
    <row r="96" spans="2:17">
      <c r="B96" s="6">
        <v>92</v>
      </c>
      <c r="C96" s="7">
        <v>3720</v>
      </c>
      <c r="D96" s="7">
        <v>64319</v>
      </c>
      <c r="E96" s="7">
        <v>7440</v>
      </c>
      <c r="F96" s="7">
        <v>4769</v>
      </c>
      <c r="G96" s="8">
        <v>0</v>
      </c>
      <c r="H96" s="7">
        <v>741683</v>
      </c>
      <c r="I96" s="7">
        <v>746453</v>
      </c>
      <c r="L96" s="15">
        <f t="shared" si="6"/>
        <v>92</v>
      </c>
      <c r="M96" s="13"/>
      <c r="N96" s="14">
        <f t="shared" si="7"/>
        <v>64319</v>
      </c>
      <c r="O96" s="14"/>
      <c r="P96" s="13"/>
      <c r="Q96" s="14">
        <f t="shared" si="5"/>
        <v>64319</v>
      </c>
    </row>
    <row r="97" spans="2:17">
      <c r="B97" s="6">
        <v>93</v>
      </c>
      <c r="C97" s="7">
        <v>3429</v>
      </c>
      <c r="D97" s="7">
        <v>65606</v>
      </c>
      <c r="E97" s="7">
        <v>6857</v>
      </c>
      <c r="F97" s="7">
        <v>4423</v>
      </c>
      <c r="G97" s="8">
        <v>0</v>
      </c>
      <c r="H97" s="7">
        <v>725004</v>
      </c>
      <c r="I97" s="7">
        <v>729427</v>
      </c>
      <c r="L97" s="15">
        <f t="shared" si="6"/>
        <v>93</v>
      </c>
      <c r="M97" s="13"/>
      <c r="N97" s="14">
        <f t="shared" si="7"/>
        <v>65606</v>
      </c>
      <c r="O97" s="14"/>
      <c r="P97" s="13"/>
      <c r="Q97" s="14">
        <f t="shared" si="5"/>
        <v>65606</v>
      </c>
    </row>
    <row r="98" spans="2:17">
      <c r="B98" s="6">
        <v>94</v>
      </c>
      <c r="C98" s="7">
        <v>3147</v>
      </c>
      <c r="D98" s="7">
        <v>66918</v>
      </c>
      <c r="E98" s="7">
        <v>6295</v>
      </c>
      <c r="F98" s="7">
        <v>4079</v>
      </c>
      <c r="G98" s="8">
        <v>0</v>
      </c>
      <c r="H98" s="7">
        <v>705903</v>
      </c>
      <c r="I98" s="7">
        <v>709982</v>
      </c>
      <c r="L98" s="15">
        <f t="shared" si="6"/>
        <v>94</v>
      </c>
      <c r="M98" s="13"/>
      <c r="N98" s="14">
        <f t="shared" si="7"/>
        <v>66918</v>
      </c>
      <c r="O98" s="14"/>
      <c r="P98" s="13"/>
      <c r="Q98" s="14">
        <f t="shared" si="5"/>
        <v>66918</v>
      </c>
    </row>
    <row r="99" spans="2:17">
      <c r="B99" s="9">
        <v>95</v>
      </c>
      <c r="C99" s="10">
        <v>2876</v>
      </c>
      <c r="D99" s="10">
        <v>68256</v>
      </c>
      <c r="E99" s="10">
        <v>5752</v>
      </c>
      <c r="F99" s="10">
        <v>3742</v>
      </c>
      <c r="G99" s="11">
        <v>0</v>
      </c>
      <c r="H99" s="10">
        <v>684183</v>
      </c>
      <c r="I99" s="10">
        <v>687925</v>
      </c>
      <c r="L99" s="15">
        <f t="shared" si="6"/>
        <v>95</v>
      </c>
      <c r="M99" s="13"/>
      <c r="N99" s="14">
        <f t="shared" si="7"/>
        <v>68256</v>
      </c>
      <c r="O99" s="14"/>
      <c r="P99" s="13"/>
      <c r="Q99" s="14">
        <f t="shared" si="5"/>
        <v>68256</v>
      </c>
    </row>
    <row r="100" spans="2:17">
      <c r="B100" s="3">
        <v>96</v>
      </c>
      <c r="C100" s="4">
        <v>2615</v>
      </c>
      <c r="D100" s="4">
        <v>69621</v>
      </c>
      <c r="E100" s="4">
        <v>5229</v>
      </c>
      <c r="F100" s="4">
        <v>3415</v>
      </c>
      <c r="G100" s="5">
        <v>0</v>
      </c>
      <c r="H100" s="4">
        <v>659647</v>
      </c>
      <c r="I100" s="4">
        <v>663062</v>
      </c>
      <c r="L100" s="15">
        <f t="shared" si="6"/>
        <v>96</v>
      </c>
      <c r="M100" s="13"/>
      <c r="N100" s="14">
        <f t="shared" si="7"/>
        <v>69621</v>
      </c>
      <c r="O100" s="14"/>
      <c r="P100" s="13"/>
      <c r="Q100" s="14">
        <f t="shared" si="5"/>
        <v>69621</v>
      </c>
    </row>
    <row r="101" spans="2:17">
      <c r="B101" s="6">
        <v>97</v>
      </c>
      <c r="C101" s="7">
        <v>2362</v>
      </c>
      <c r="D101" s="7">
        <v>71014</v>
      </c>
      <c r="E101" s="7">
        <v>4725</v>
      </c>
      <c r="F101" s="7">
        <v>3099</v>
      </c>
      <c r="G101" s="8">
        <v>0</v>
      </c>
      <c r="H101" s="7">
        <v>632094</v>
      </c>
      <c r="I101" s="7">
        <v>635193</v>
      </c>
      <c r="L101" s="15">
        <f t="shared" si="6"/>
        <v>97</v>
      </c>
      <c r="M101" s="13"/>
      <c r="N101" s="14">
        <f t="shared" si="7"/>
        <v>71014</v>
      </c>
      <c r="O101" s="14"/>
      <c r="P101" s="13"/>
      <c r="Q101" s="14">
        <f t="shared" si="5"/>
        <v>71014</v>
      </c>
    </row>
    <row r="102" spans="2:17">
      <c r="B102" s="6">
        <v>98</v>
      </c>
      <c r="C102" s="7">
        <v>2119</v>
      </c>
      <c r="D102" s="7">
        <v>72434</v>
      </c>
      <c r="E102" s="7">
        <v>4238</v>
      </c>
      <c r="F102" s="7">
        <v>2793</v>
      </c>
      <c r="G102" s="8">
        <v>0</v>
      </c>
      <c r="H102" s="7">
        <v>601294</v>
      </c>
      <c r="I102" s="7">
        <v>604086</v>
      </c>
      <c r="L102" s="15">
        <f t="shared" si="6"/>
        <v>98</v>
      </c>
      <c r="M102" s="13"/>
      <c r="N102" s="14">
        <f t="shared" si="7"/>
        <v>72434</v>
      </c>
      <c r="O102" s="14"/>
      <c r="P102" s="13"/>
      <c r="Q102" s="14">
        <f t="shared" si="5"/>
        <v>72434</v>
      </c>
    </row>
    <row r="103" spans="2:17">
      <c r="B103" s="6">
        <v>99</v>
      </c>
      <c r="C103" s="7">
        <v>1884</v>
      </c>
      <c r="D103" s="7">
        <v>73883</v>
      </c>
      <c r="E103" s="7">
        <v>3768</v>
      </c>
      <c r="F103" s="7">
        <v>2495</v>
      </c>
      <c r="G103" s="8">
        <v>0</v>
      </c>
      <c r="H103" s="7">
        <v>567010</v>
      </c>
      <c r="I103" s="7">
        <v>569504</v>
      </c>
      <c r="L103" s="15">
        <f t="shared" si="6"/>
        <v>99</v>
      </c>
      <c r="M103" s="13"/>
      <c r="N103" s="14">
        <f t="shared" si="7"/>
        <v>73883</v>
      </c>
      <c r="O103" s="14"/>
      <c r="P103" s="13"/>
      <c r="Q103" s="14">
        <f t="shared" si="5"/>
        <v>73883</v>
      </c>
    </row>
    <row r="104" spans="2:17">
      <c r="B104" s="9">
        <v>100</v>
      </c>
      <c r="C104" s="10">
        <v>1657</v>
      </c>
      <c r="D104" s="10">
        <v>75360</v>
      </c>
      <c r="E104" s="10">
        <v>3315</v>
      </c>
      <c r="F104" s="10">
        <v>2208</v>
      </c>
      <c r="G104" s="11">
        <v>0</v>
      </c>
      <c r="H104" s="10">
        <v>528983</v>
      </c>
      <c r="I104" s="10">
        <v>531191</v>
      </c>
      <c r="L104" s="15">
        <f t="shared" si="6"/>
        <v>100</v>
      </c>
      <c r="M104" s="13"/>
      <c r="N104" s="14">
        <f t="shared" si="7"/>
        <v>75360</v>
      </c>
      <c r="O104" s="14"/>
      <c r="P104" s="14">
        <f>I104</f>
        <v>531191</v>
      </c>
      <c r="Q104" s="14">
        <f>M104+N104+P104+O104</f>
        <v>606551</v>
      </c>
    </row>
    <row r="105" spans="2:17">
      <c r="P105" s="16" t="s">
        <v>4</v>
      </c>
      <c r="Q105" s="17">
        <f>IRR(Q4:Q104)</f>
        <v>6.4336891205838853E-2</v>
      </c>
    </row>
  </sheetData>
  <mergeCells count="8">
    <mergeCell ref="F1:I1"/>
    <mergeCell ref="G2:H2"/>
    <mergeCell ref="I2:I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A03F-38F9-5B4F-8AA3-491F14973789}">
  <dimension ref="A1:T105"/>
  <sheetViews>
    <sheetView topLeftCell="H61" workbookViewId="0">
      <selection activeCell="L3" sqref="L3:Q105"/>
    </sheetView>
  </sheetViews>
  <sheetFormatPr baseColWidth="10" defaultRowHeight="16"/>
  <sheetData>
    <row r="1" spans="1:20">
      <c r="A1" s="34" t="s">
        <v>29</v>
      </c>
      <c r="B1" s="37" t="s">
        <v>7</v>
      </c>
      <c r="C1" s="38" t="s">
        <v>8</v>
      </c>
      <c r="D1" s="40" t="s">
        <v>22</v>
      </c>
      <c r="E1" s="42" t="s">
        <v>23</v>
      </c>
      <c r="F1" s="28" t="s">
        <v>24</v>
      </c>
      <c r="G1" s="29"/>
      <c r="H1" s="29"/>
      <c r="I1" s="30"/>
    </row>
    <row r="2" spans="1:20">
      <c r="A2" s="35"/>
      <c r="B2" s="35"/>
      <c r="C2" s="39"/>
      <c r="D2" s="41"/>
      <c r="E2" s="43"/>
      <c r="F2" s="1" t="s">
        <v>25</v>
      </c>
      <c r="G2" s="31" t="s">
        <v>12</v>
      </c>
      <c r="H2" s="32"/>
      <c r="I2" s="33" t="s">
        <v>13</v>
      </c>
    </row>
    <row r="3" spans="1:20" ht="30">
      <c r="A3" s="36"/>
      <c r="B3" s="36"/>
      <c r="C3" s="45"/>
      <c r="D3" s="46"/>
      <c r="E3" s="47"/>
      <c r="F3" s="2" t="s">
        <v>17</v>
      </c>
      <c r="G3" s="2" t="s">
        <v>18</v>
      </c>
      <c r="H3" s="2" t="s">
        <v>19</v>
      </c>
      <c r="I3" s="44"/>
      <c r="L3" s="13" t="s">
        <v>5</v>
      </c>
      <c r="M3" s="13" t="s">
        <v>0</v>
      </c>
      <c r="N3" s="13" t="s">
        <v>1</v>
      </c>
      <c r="O3" s="13" t="s">
        <v>26</v>
      </c>
      <c r="P3" s="13" t="s">
        <v>2</v>
      </c>
      <c r="Q3" s="13" t="s">
        <v>3</v>
      </c>
      <c r="T3" t="s">
        <v>27</v>
      </c>
    </row>
    <row r="4" spans="1:20">
      <c r="A4" s="18"/>
      <c r="B4" s="18"/>
      <c r="C4" s="23"/>
      <c r="D4" s="24"/>
      <c r="E4" s="25"/>
      <c r="F4" s="12"/>
      <c r="G4" s="12"/>
      <c r="H4" s="12"/>
      <c r="I4" s="26"/>
      <c r="L4" s="13">
        <v>0</v>
      </c>
      <c r="M4" s="14">
        <f>-C5</f>
        <v>-30000</v>
      </c>
      <c r="N4" s="13"/>
      <c r="O4" s="13"/>
      <c r="P4" s="13"/>
      <c r="Q4" s="14">
        <f>M4+N4+P4+O4</f>
        <v>-30000</v>
      </c>
      <c r="T4" s="27">
        <v>0.12</v>
      </c>
    </row>
    <row r="5" spans="1:20">
      <c r="A5" s="6">
        <f>不提取累积情况!A4</f>
        <v>68</v>
      </c>
      <c r="B5" s="3">
        <v>1</v>
      </c>
      <c r="C5" s="4">
        <v>30000</v>
      </c>
      <c r="D5" s="5">
        <v>0</v>
      </c>
      <c r="E5" s="4">
        <v>306436</v>
      </c>
      <c r="F5" s="5">
        <v>31</v>
      </c>
      <c r="G5" s="5">
        <v>0</v>
      </c>
      <c r="H5" s="5">
        <v>0</v>
      </c>
      <c r="I5" s="5">
        <v>31</v>
      </c>
      <c r="L5" s="15">
        <f>B5</f>
        <v>1</v>
      </c>
      <c r="M5" s="14">
        <f>M4</f>
        <v>-30000</v>
      </c>
      <c r="N5" s="13"/>
      <c r="O5" s="13">
        <f>C5*T4</f>
        <v>3600</v>
      </c>
      <c r="P5" s="13"/>
      <c r="Q5" s="14">
        <f t="shared" ref="Q5:Q60" si="0">M5+N5+P5+O5</f>
        <v>-26400</v>
      </c>
    </row>
    <row r="6" spans="1:20">
      <c r="A6" s="6">
        <f>不提取累积情况!A5</f>
        <v>69</v>
      </c>
      <c r="B6" s="6">
        <v>2</v>
      </c>
      <c r="C6" s="7">
        <v>60000</v>
      </c>
      <c r="D6" s="8">
        <v>0</v>
      </c>
      <c r="E6" s="7">
        <v>306436</v>
      </c>
      <c r="F6" s="8">
        <v>31</v>
      </c>
      <c r="G6" s="8">
        <v>0</v>
      </c>
      <c r="H6" s="8">
        <v>0</v>
      </c>
      <c r="I6" s="8">
        <v>31</v>
      </c>
      <c r="L6" s="15">
        <f>B6</f>
        <v>2</v>
      </c>
      <c r="M6" s="14">
        <f t="shared" ref="M6:M8" si="1">M5</f>
        <v>-30000</v>
      </c>
      <c r="N6" s="13"/>
      <c r="O6" s="13"/>
      <c r="P6" s="13"/>
      <c r="Q6" s="14">
        <f t="shared" si="0"/>
        <v>-30000</v>
      </c>
    </row>
    <row r="7" spans="1:20">
      <c r="A7" s="6">
        <f>不提取累积情况!A6</f>
        <v>70</v>
      </c>
      <c r="B7" s="6">
        <v>3</v>
      </c>
      <c r="C7" s="7">
        <v>90000</v>
      </c>
      <c r="D7" s="8">
        <v>0</v>
      </c>
      <c r="E7" s="7">
        <v>306436</v>
      </c>
      <c r="F7" s="7">
        <v>7967</v>
      </c>
      <c r="G7" s="7">
        <v>2482</v>
      </c>
      <c r="H7" s="7">
        <v>4634</v>
      </c>
      <c r="I7" s="7">
        <v>15083</v>
      </c>
      <c r="L7" s="15">
        <f t="shared" ref="L7:L60" si="2">B7</f>
        <v>3</v>
      </c>
      <c r="M7" s="14">
        <f t="shared" si="1"/>
        <v>-30000</v>
      </c>
      <c r="N7" s="13"/>
      <c r="O7" s="13"/>
      <c r="P7" s="13"/>
      <c r="Q7" s="14">
        <f t="shared" si="0"/>
        <v>-30000</v>
      </c>
    </row>
    <row r="8" spans="1:20">
      <c r="A8" s="6">
        <f>不提取累积情况!A7</f>
        <v>71</v>
      </c>
      <c r="B8" s="6">
        <v>4</v>
      </c>
      <c r="C8" s="7">
        <v>120000</v>
      </c>
      <c r="D8" s="8">
        <v>0</v>
      </c>
      <c r="E8" s="7">
        <v>306436</v>
      </c>
      <c r="F8" s="7">
        <v>22370</v>
      </c>
      <c r="G8" s="7">
        <v>5001</v>
      </c>
      <c r="H8" s="7">
        <v>10277</v>
      </c>
      <c r="I8" s="7">
        <v>37649</v>
      </c>
      <c r="L8" s="15">
        <f t="shared" si="2"/>
        <v>4</v>
      </c>
      <c r="M8" s="14">
        <f t="shared" si="1"/>
        <v>-30000</v>
      </c>
      <c r="N8" s="13"/>
      <c r="O8" s="13"/>
      <c r="P8" s="13"/>
      <c r="Q8" s="14">
        <f t="shared" si="0"/>
        <v>-30000</v>
      </c>
    </row>
    <row r="9" spans="1:20">
      <c r="A9" s="9">
        <f>不提取累积情况!A8</f>
        <v>72</v>
      </c>
      <c r="B9" s="9">
        <v>5</v>
      </c>
      <c r="C9" s="10">
        <v>150000</v>
      </c>
      <c r="D9" s="11">
        <v>0</v>
      </c>
      <c r="E9" s="10">
        <v>306436</v>
      </c>
      <c r="F9" s="10">
        <v>42288</v>
      </c>
      <c r="G9" s="10">
        <v>7559</v>
      </c>
      <c r="H9" s="10">
        <v>20410</v>
      </c>
      <c r="I9" s="10">
        <v>70256</v>
      </c>
      <c r="L9" s="15">
        <f t="shared" si="2"/>
        <v>5</v>
      </c>
      <c r="M9" s="13"/>
      <c r="N9" s="13"/>
      <c r="O9" s="13"/>
      <c r="P9" s="13"/>
      <c r="Q9" s="14">
        <f t="shared" si="0"/>
        <v>0</v>
      </c>
    </row>
    <row r="10" spans="1:20">
      <c r="A10" s="6">
        <f>不提取累积情况!A9</f>
        <v>73</v>
      </c>
      <c r="B10" s="3">
        <v>6</v>
      </c>
      <c r="C10" s="4">
        <v>150000</v>
      </c>
      <c r="D10" s="5">
        <v>0</v>
      </c>
      <c r="E10" s="4">
        <v>306436</v>
      </c>
      <c r="F10" s="4">
        <v>55771</v>
      </c>
      <c r="G10" s="4">
        <v>10154</v>
      </c>
      <c r="H10" s="4">
        <v>65534</v>
      </c>
      <c r="I10" s="4">
        <v>131460</v>
      </c>
      <c r="L10" s="15">
        <f t="shared" si="2"/>
        <v>6</v>
      </c>
      <c r="M10" s="13"/>
      <c r="N10" s="14">
        <f t="shared" ref="N10:N11" si="3">D10</f>
        <v>0</v>
      </c>
      <c r="O10" s="14"/>
      <c r="P10" s="13"/>
      <c r="Q10" s="14">
        <f t="shared" si="0"/>
        <v>0</v>
      </c>
    </row>
    <row r="11" spans="1:20">
      <c r="A11" s="6">
        <f>不提取累积情况!A10</f>
        <v>74</v>
      </c>
      <c r="B11" s="6">
        <v>7</v>
      </c>
      <c r="C11" s="7">
        <v>150000</v>
      </c>
      <c r="D11" s="8">
        <v>0</v>
      </c>
      <c r="E11" s="7">
        <v>306436</v>
      </c>
      <c r="F11" s="7">
        <v>68948</v>
      </c>
      <c r="G11" s="7">
        <v>12789</v>
      </c>
      <c r="H11" s="7">
        <v>69272</v>
      </c>
      <c r="I11" s="7">
        <v>151008</v>
      </c>
      <c r="L11" s="15">
        <f t="shared" si="2"/>
        <v>7</v>
      </c>
      <c r="M11" s="13"/>
      <c r="N11" s="14">
        <f t="shared" si="3"/>
        <v>0</v>
      </c>
      <c r="O11" s="14"/>
      <c r="P11" s="13"/>
      <c r="Q11" s="14">
        <f t="shared" si="0"/>
        <v>0</v>
      </c>
    </row>
    <row r="12" spans="1:20">
      <c r="A12" s="6">
        <f>不提取累积情况!A11</f>
        <v>75</v>
      </c>
      <c r="B12" s="6">
        <v>8</v>
      </c>
      <c r="C12" s="7">
        <v>150000</v>
      </c>
      <c r="D12" s="8">
        <v>0</v>
      </c>
      <c r="E12" s="7">
        <v>306436</v>
      </c>
      <c r="F12" s="7">
        <v>88866</v>
      </c>
      <c r="G12" s="7">
        <v>15463</v>
      </c>
      <c r="H12" s="7">
        <v>69852</v>
      </c>
      <c r="I12" s="7">
        <v>174181</v>
      </c>
      <c r="L12" s="15">
        <f t="shared" si="2"/>
        <v>8</v>
      </c>
      <c r="M12" s="13"/>
      <c r="N12" s="14">
        <f>D12</f>
        <v>0</v>
      </c>
      <c r="O12" s="14"/>
      <c r="P12" s="13"/>
      <c r="Q12" s="14">
        <f t="shared" si="0"/>
        <v>0</v>
      </c>
    </row>
    <row r="13" spans="1:20">
      <c r="A13" s="6">
        <f>不提取累积情况!A12</f>
        <v>76</v>
      </c>
      <c r="B13" s="6">
        <v>9</v>
      </c>
      <c r="C13" s="7">
        <v>150000</v>
      </c>
      <c r="D13" s="8">
        <v>0</v>
      </c>
      <c r="E13" s="7">
        <v>306436</v>
      </c>
      <c r="F13" s="7">
        <v>91624</v>
      </c>
      <c r="G13" s="7">
        <v>18177</v>
      </c>
      <c r="H13" s="7">
        <v>76284</v>
      </c>
      <c r="I13" s="7">
        <v>186085</v>
      </c>
      <c r="L13" s="15">
        <f t="shared" si="2"/>
        <v>9</v>
      </c>
      <c r="M13" s="13"/>
      <c r="N13" s="14">
        <f t="shared" ref="N13:N60" si="4">D13</f>
        <v>0</v>
      </c>
      <c r="O13" s="14"/>
      <c r="P13" s="13"/>
      <c r="Q13" s="14">
        <f t="shared" si="0"/>
        <v>0</v>
      </c>
    </row>
    <row r="14" spans="1:20">
      <c r="A14" s="9">
        <f>不提取累积情况!A13</f>
        <v>77</v>
      </c>
      <c r="B14" s="9">
        <v>10</v>
      </c>
      <c r="C14" s="10">
        <v>150000</v>
      </c>
      <c r="D14" s="11">
        <v>0</v>
      </c>
      <c r="E14" s="10">
        <v>306436</v>
      </c>
      <c r="F14" s="10">
        <v>94076</v>
      </c>
      <c r="G14" s="10">
        <v>18745</v>
      </c>
      <c r="H14" s="10">
        <v>83897</v>
      </c>
      <c r="I14" s="10">
        <v>196717</v>
      </c>
      <c r="L14" s="15">
        <f t="shared" si="2"/>
        <v>10</v>
      </c>
      <c r="M14" s="13"/>
      <c r="N14" s="14">
        <f t="shared" si="4"/>
        <v>0</v>
      </c>
      <c r="O14" s="14"/>
      <c r="P14" s="13"/>
      <c r="Q14" s="14">
        <f t="shared" si="0"/>
        <v>0</v>
      </c>
    </row>
    <row r="15" spans="1:20">
      <c r="A15" s="6">
        <f>不提取累积情况!A14</f>
        <v>78</v>
      </c>
      <c r="B15" s="3">
        <v>11</v>
      </c>
      <c r="C15" s="4">
        <v>150000</v>
      </c>
      <c r="D15" s="5">
        <v>0</v>
      </c>
      <c r="E15" s="4">
        <v>306436</v>
      </c>
      <c r="F15" s="4">
        <v>97140</v>
      </c>
      <c r="G15" s="4">
        <v>19326</v>
      </c>
      <c r="H15" s="4">
        <v>94471</v>
      </c>
      <c r="I15" s="4">
        <v>210938</v>
      </c>
      <c r="L15" s="15">
        <f t="shared" si="2"/>
        <v>11</v>
      </c>
      <c r="M15" s="13"/>
      <c r="N15" s="14">
        <f t="shared" si="4"/>
        <v>0</v>
      </c>
      <c r="O15" s="14"/>
      <c r="P15" s="13"/>
      <c r="Q15" s="14">
        <f t="shared" si="0"/>
        <v>0</v>
      </c>
    </row>
    <row r="16" spans="1:20">
      <c r="A16" s="6">
        <f>不提取累积情况!A15</f>
        <v>79</v>
      </c>
      <c r="B16" s="6">
        <v>12</v>
      </c>
      <c r="C16" s="7">
        <v>150000</v>
      </c>
      <c r="D16" s="8">
        <v>0</v>
      </c>
      <c r="E16" s="7">
        <v>306436</v>
      </c>
      <c r="F16" s="7">
        <v>99898</v>
      </c>
      <c r="G16" s="7">
        <v>19922</v>
      </c>
      <c r="H16" s="7">
        <v>106066</v>
      </c>
      <c r="I16" s="7">
        <v>225887</v>
      </c>
      <c r="L16" s="15">
        <f t="shared" si="2"/>
        <v>12</v>
      </c>
      <c r="M16" s="13"/>
      <c r="N16" s="14">
        <f t="shared" si="4"/>
        <v>0</v>
      </c>
      <c r="O16" s="14"/>
      <c r="P16" s="13"/>
      <c r="Q16" s="14">
        <f t="shared" si="0"/>
        <v>0</v>
      </c>
    </row>
    <row r="17" spans="1:17">
      <c r="A17" s="6">
        <f>不提取累积情况!A16</f>
        <v>80</v>
      </c>
      <c r="B17" s="6">
        <v>13</v>
      </c>
      <c r="C17" s="7">
        <v>150000</v>
      </c>
      <c r="D17" s="8">
        <v>0</v>
      </c>
      <c r="E17" s="7">
        <v>306436</v>
      </c>
      <c r="F17" s="7">
        <v>102962</v>
      </c>
      <c r="G17" s="7">
        <v>20533</v>
      </c>
      <c r="H17" s="7">
        <v>118363</v>
      </c>
      <c r="I17" s="7">
        <v>241858</v>
      </c>
      <c r="L17" s="15">
        <f t="shared" si="2"/>
        <v>13</v>
      </c>
      <c r="M17" s="13"/>
      <c r="N17" s="14">
        <f t="shared" si="4"/>
        <v>0</v>
      </c>
      <c r="O17" s="14"/>
      <c r="P17" s="13"/>
      <c r="Q17" s="14">
        <f t="shared" si="0"/>
        <v>0</v>
      </c>
    </row>
    <row r="18" spans="1:17">
      <c r="A18" s="6">
        <f>不提取累积情况!A17</f>
        <v>81</v>
      </c>
      <c r="B18" s="6">
        <v>14</v>
      </c>
      <c r="C18" s="7">
        <v>150000</v>
      </c>
      <c r="D18" s="8">
        <v>0</v>
      </c>
      <c r="E18" s="7">
        <v>306436</v>
      </c>
      <c r="F18" s="7">
        <v>106027</v>
      </c>
      <c r="G18" s="7">
        <v>21159</v>
      </c>
      <c r="H18" s="7">
        <v>132348</v>
      </c>
      <c r="I18" s="7">
        <v>259534</v>
      </c>
      <c r="L18" s="15">
        <f t="shared" si="2"/>
        <v>14</v>
      </c>
      <c r="M18" s="13"/>
      <c r="N18" s="14">
        <f t="shared" si="4"/>
        <v>0</v>
      </c>
      <c r="O18" s="14"/>
      <c r="P18" s="13"/>
      <c r="Q18" s="14">
        <f t="shared" si="0"/>
        <v>0</v>
      </c>
    </row>
    <row r="19" spans="1:17">
      <c r="A19" s="9">
        <f>不提取累积情况!A18</f>
        <v>82</v>
      </c>
      <c r="B19" s="9">
        <v>15</v>
      </c>
      <c r="C19" s="10">
        <v>150000</v>
      </c>
      <c r="D19" s="11">
        <v>0</v>
      </c>
      <c r="E19" s="10">
        <v>306436</v>
      </c>
      <c r="F19" s="10">
        <v>109091</v>
      </c>
      <c r="G19" s="10">
        <v>21800</v>
      </c>
      <c r="H19" s="10">
        <v>147378</v>
      </c>
      <c r="I19" s="10">
        <v>278269</v>
      </c>
      <c r="L19" s="15">
        <f t="shared" si="2"/>
        <v>15</v>
      </c>
      <c r="M19" s="13"/>
      <c r="N19" s="14">
        <f t="shared" si="4"/>
        <v>0</v>
      </c>
      <c r="O19" s="14"/>
      <c r="P19" s="13"/>
      <c r="Q19" s="14">
        <f t="shared" si="0"/>
        <v>0</v>
      </c>
    </row>
    <row r="20" spans="1:17">
      <c r="A20" s="6">
        <f>不提取累积情况!A19</f>
        <v>83</v>
      </c>
      <c r="B20" s="3">
        <v>16</v>
      </c>
      <c r="C20" s="4">
        <v>150000</v>
      </c>
      <c r="D20" s="5">
        <v>0</v>
      </c>
      <c r="E20" s="4">
        <v>306436</v>
      </c>
      <c r="F20" s="4">
        <v>116446</v>
      </c>
      <c r="G20" s="4">
        <v>22456</v>
      </c>
      <c r="H20" s="4">
        <v>160499</v>
      </c>
      <c r="I20" s="4">
        <v>299402</v>
      </c>
      <c r="L20" s="15">
        <f t="shared" si="2"/>
        <v>16</v>
      </c>
      <c r="M20" s="13"/>
      <c r="N20" s="14">
        <f t="shared" si="4"/>
        <v>0</v>
      </c>
      <c r="O20" s="14"/>
      <c r="P20" s="13"/>
      <c r="Q20" s="14">
        <f t="shared" si="0"/>
        <v>0</v>
      </c>
    </row>
    <row r="21" spans="1:17">
      <c r="A21" s="6">
        <f>不提取累积情况!A20</f>
        <v>84</v>
      </c>
      <c r="B21" s="6">
        <v>17</v>
      </c>
      <c r="C21" s="7">
        <v>150000</v>
      </c>
      <c r="D21" s="8">
        <v>0</v>
      </c>
      <c r="E21" s="7">
        <v>306436</v>
      </c>
      <c r="F21" s="7">
        <v>124107</v>
      </c>
      <c r="G21" s="7">
        <v>23129</v>
      </c>
      <c r="H21" s="7">
        <v>174999</v>
      </c>
      <c r="I21" s="7">
        <v>322235</v>
      </c>
      <c r="L21" s="15">
        <f t="shared" si="2"/>
        <v>17</v>
      </c>
      <c r="M21" s="13"/>
      <c r="N21" s="14">
        <f t="shared" si="4"/>
        <v>0</v>
      </c>
      <c r="O21" s="14"/>
      <c r="P21" s="13"/>
      <c r="Q21" s="14">
        <f t="shared" si="0"/>
        <v>0</v>
      </c>
    </row>
    <row r="22" spans="1:17">
      <c r="A22" s="6">
        <f>不提取累积情况!A21</f>
        <v>85</v>
      </c>
      <c r="B22" s="6">
        <v>18</v>
      </c>
      <c r="C22" s="7">
        <v>150000</v>
      </c>
      <c r="D22" s="7">
        <v>22500</v>
      </c>
      <c r="E22" s="7">
        <v>306436</v>
      </c>
      <c r="F22" s="7">
        <v>149847</v>
      </c>
      <c r="G22" s="7">
        <v>9132</v>
      </c>
      <c r="H22" s="7">
        <v>167882</v>
      </c>
      <c r="I22" s="7">
        <v>326861</v>
      </c>
      <c r="L22" s="15">
        <f t="shared" si="2"/>
        <v>18</v>
      </c>
      <c r="M22" s="13"/>
      <c r="N22" s="14">
        <f t="shared" si="4"/>
        <v>22500</v>
      </c>
      <c r="O22" s="14"/>
      <c r="P22" s="13"/>
      <c r="Q22" s="14">
        <f t="shared" si="0"/>
        <v>22500</v>
      </c>
    </row>
    <row r="23" spans="1:17">
      <c r="A23" s="6">
        <f>不提取累积情况!A22</f>
        <v>86</v>
      </c>
      <c r="B23" s="6">
        <v>19</v>
      </c>
      <c r="C23" s="7">
        <v>146773</v>
      </c>
      <c r="D23" s="7">
        <v>22500</v>
      </c>
      <c r="E23" s="7">
        <v>299843</v>
      </c>
      <c r="F23" s="7">
        <v>147822</v>
      </c>
      <c r="G23" s="8">
        <v>0</v>
      </c>
      <c r="H23" s="7">
        <v>182304</v>
      </c>
      <c r="I23" s="7">
        <v>330127</v>
      </c>
      <c r="L23" s="15">
        <f t="shared" si="2"/>
        <v>19</v>
      </c>
      <c r="M23" s="13"/>
      <c r="N23" s="14">
        <f t="shared" si="4"/>
        <v>22500</v>
      </c>
      <c r="O23" s="14"/>
      <c r="P23" s="13"/>
      <c r="Q23" s="14">
        <f t="shared" si="0"/>
        <v>22500</v>
      </c>
    </row>
    <row r="24" spans="1:17">
      <c r="A24" s="9">
        <f>不提取累积情况!A23</f>
        <v>87</v>
      </c>
      <c r="B24" s="9">
        <v>20</v>
      </c>
      <c r="C24" s="10">
        <v>137539</v>
      </c>
      <c r="D24" s="10">
        <v>22500</v>
      </c>
      <c r="E24" s="10">
        <v>280978</v>
      </c>
      <c r="F24" s="10">
        <v>138803</v>
      </c>
      <c r="G24" s="11">
        <v>0</v>
      </c>
      <c r="H24" s="10">
        <v>193313</v>
      </c>
      <c r="I24" s="10">
        <v>332116</v>
      </c>
      <c r="L24" s="15">
        <f t="shared" si="2"/>
        <v>20</v>
      </c>
      <c r="M24" s="13"/>
      <c r="N24" s="14">
        <f t="shared" si="4"/>
        <v>22500</v>
      </c>
      <c r="O24" s="14"/>
      <c r="P24" s="13"/>
      <c r="Q24" s="14">
        <f t="shared" si="0"/>
        <v>22500</v>
      </c>
    </row>
    <row r="25" spans="1:17">
      <c r="A25" s="6">
        <f>不提取累积情况!A24</f>
        <v>88</v>
      </c>
      <c r="B25" s="3">
        <v>21</v>
      </c>
      <c r="C25" s="4">
        <v>129091</v>
      </c>
      <c r="D25" s="4">
        <v>22500</v>
      </c>
      <c r="E25" s="4">
        <v>263720</v>
      </c>
      <c r="F25" s="4">
        <v>130541</v>
      </c>
      <c r="G25" s="5">
        <v>0</v>
      </c>
      <c r="H25" s="4">
        <v>210185</v>
      </c>
      <c r="I25" s="4">
        <v>340726</v>
      </c>
      <c r="L25" s="15">
        <f t="shared" si="2"/>
        <v>21</v>
      </c>
      <c r="M25" s="13"/>
      <c r="N25" s="14">
        <f t="shared" si="4"/>
        <v>22500</v>
      </c>
      <c r="O25" s="14"/>
      <c r="P25" s="13"/>
      <c r="Q25" s="14">
        <f t="shared" si="0"/>
        <v>22500</v>
      </c>
    </row>
    <row r="26" spans="1:17">
      <c r="A26" s="6">
        <f>不提取累积情况!A25</f>
        <v>89</v>
      </c>
      <c r="B26" s="6">
        <v>22</v>
      </c>
      <c r="C26" s="7">
        <v>121711</v>
      </c>
      <c r="D26" s="7">
        <v>22500</v>
      </c>
      <c r="E26" s="7">
        <v>247883</v>
      </c>
      <c r="F26" s="7">
        <v>122950</v>
      </c>
      <c r="G26" s="8">
        <v>0</v>
      </c>
      <c r="H26" s="7">
        <v>226069</v>
      </c>
      <c r="I26" s="7">
        <v>349019</v>
      </c>
      <c r="L26" s="15">
        <f t="shared" si="2"/>
        <v>22</v>
      </c>
      <c r="M26" s="13"/>
      <c r="N26" s="14">
        <f t="shared" si="4"/>
        <v>22500</v>
      </c>
      <c r="O26" s="14"/>
      <c r="P26" s="13"/>
      <c r="Q26" s="14">
        <f t="shared" si="0"/>
        <v>22500</v>
      </c>
    </row>
    <row r="27" spans="1:17">
      <c r="A27" s="6">
        <f>不提取累积情况!A26</f>
        <v>90</v>
      </c>
      <c r="B27" s="6">
        <v>23</v>
      </c>
      <c r="C27" s="7">
        <v>114587</v>
      </c>
      <c r="D27" s="7">
        <v>22500</v>
      </c>
      <c r="E27" s="7">
        <v>233376</v>
      </c>
      <c r="F27" s="7">
        <v>115988</v>
      </c>
      <c r="G27" s="8">
        <v>0</v>
      </c>
      <c r="H27" s="7">
        <v>242711</v>
      </c>
      <c r="I27" s="7">
        <v>358698</v>
      </c>
      <c r="L27" s="15">
        <f t="shared" si="2"/>
        <v>23</v>
      </c>
      <c r="M27" s="13"/>
      <c r="N27" s="14">
        <f t="shared" si="4"/>
        <v>22500</v>
      </c>
      <c r="O27" s="14"/>
      <c r="P27" s="13"/>
      <c r="Q27" s="14">
        <f t="shared" si="0"/>
        <v>22500</v>
      </c>
    </row>
    <row r="28" spans="1:17">
      <c r="A28" s="6">
        <f>不提取累积情况!A27</f>
        <v>91</v>
      </c>
      <c r="B28" s="6">
        <v>24</v>
      </c>
      <c r="C28" s="7">
        <v>107984</v>
      </c>
      <c r="D28" s="7">
        <v>22500</v>
      </c>
      <c r="E28" s="7">
        <v>219927</v>
      </c>
      <c r="F28" s="7">
        <v>109523</v>
      </c>
      <c r="G28" s="8">
        <v>0</v>
      </c>
      <c r="H28" s="7">
        <v>255115</v>
      </c>
      <c r="I28" s="7">
        <v>364638</v>
      </c>
      <c r="L28" s="15">
        <f t="shared" si="2"/>
        <v>24</v>
      </c>
      <c r="M28" s="13"/>
      <c r="N28" s="14">
        <f t="shared" si="4"/>
        <v>22500</v>
      </c>
      <c r="O28" s="14"/>
      <c r="P28" s="13"/>
      <c r="Q28" s="14">
        <f t="shared" si="0"/>
        <v>22500</v>
      </c>
    </row>
    <row r="29" spans="1:17">
      <c r="A29" s="9">
        <f>不提取累积情况!A28</f>
        <v>92</v>
      </c>
      <c r="B29" s="9">
        <v>25</v>
      </c>
      <c r="C29" s="10">
        <v>101864</v>
      </c>
      <c r="D29" s="10">
        <v>22500</v>
      </c>
      <c r="E29" s="10">
        <v>207462</v>
      </c>
      <c r="F29" s="10">
        <v>103524</v>
      </c>
      <c r="G29" s="11">
        <v>0</v>
      </c>
      <c r="H29" s="10">
        <v>267626</v>
      </c>
      <c r="I29" s="10">
        <v>371150</v>
      </c>
      <c r="L29" s="15">
        <f t="shared" si="2"/>
        <v>25</v>
      </c>
      <c r="M29" s="13"/>
      <c r="N29" s="14">
        <f t="shared" si="4"/>
        <v>22500</v>
      </c>
      <c r="O29" s="14"/>
      <c r="P29" s="13"/>
      <c r="Q29" s="14">
        <f t="shared" si="0"/>
        <v>22500</v>
      </c>
    </row>
    <row r="30" spans="1:17">
      <c r="A30" s="6">
        <f>不提取累积情况!A29</f>
        <v>93</v>
      </c>
      <c r="B30" s="3">
        <v>26</v>
      </c>
      <c r="C30" s="4">
        <v>96188</v>
      </c>
      <c r="D30" s="4">
        <v>22500</v>
      </c>
      <c r="E30" s="4">
        <v>195903</v>
      </c>
      <c r="F30" s="4">
        <v>97951</v>
      </c>
      <c r="G30" s="5">
        <v>0</v>
      </c>
      <c r="H30" s="4">
        <v>279945</v>
      </c>
      <c r="I30" s="4">
        <v>377896</v>
      </c>
      <c r="L30" s="15">
        <f t="shared" si="2"/>
        <v>26</v>
      </c>
      <c r="M30" s="13"/>
      <c r="N30" s="14">
        <f t="shared" si="4"/>
        <v>22500</v>
      </c>
      <c r="O30" s="14"/>
      <c r="P30" s="13"/>
      <c r="Q30" s="14">
        <f t="shared" si="0"/>
        <v>22500</v>
      </c>
    </row>
    <row r="31" spans="1:17">
      <c r="A31" s="6">
        <f>不提取累积情况!A30</f>
        <v>94</v>
      </c>
      <c r="B31" s="6">
        <v>27</v>
      </c>
      <c r="C31" s="7">
        <v>90917</v>
      </c>
      <c r="D31" s="7">
        <v>22500</v>
      </c>
      <c r="E31" s="7">
        <v>185167</v>
      </c>
      <c r="F31" s="7">
        <v>92769</v>
      </c>
      <c r="G31" s="8">
        <v>0</v>
      </c>
      <c r="H31" s="7">
        <v>291823</v>
      </c>
      <c r="I31" s="7">
        <v>384592</v>
      </c>
      <c r="L31" s="15">
        <f t="shared" si="2"/>
        <v>27</v>
      </c>
      <c r="M31" s="13"/>
      <c r="N31" s="14">
        <f t="shared" si="4"/>
        <v>22500</v>
      </c>
      <c r="O31" s="14"/>
      <c r="P31" s="13"/>
      <c r="Q31" s="14">
        <f t="shared" si="0"/>
        <v>22500</v>
      </c>
    </row>
    <row r="32" spans="1:17">
      <c r="A32" s="6">
        <f>不提取累积情况!A31</f>
        <v>95</v>
      </c>
      <c r="B32" s="6">
        <v>28</v>
      </c>
      <c r="C32" s="7">
        <v>85978</v>
      </c>
      <c r="D32" s="7">
        <v>22500</v>
      </c>
      <c r="E32" s="7">
        <v>175109</v>
      </c>
      <c r="F32" s="7">
        <v>87905</v>
      </c>
      <c r="G32" s="8">
        <v>0</v>
      </c>
      <c r="H32" s="7">
        <v>300312</v>
      </c>
      <c r="I32" s="7">
        <v>388216</v>
      </c>
      <c r="L32" s="15">
        <f t="shared" si="2"/>
        <v>28</v>
      </c>
      <c r="M32" s="13"/>
      <c r="N32" s="14">
        <f t="shared" si="4"/>
        <v>22500</v>
      </c>
      <c r="O32" s="14"/>
      <c r="P32" s="13"/>
      <c r="Q32" s="14">
        <f t="shared" si="0"/>
        <v>22500</v>
      </c>
    </row>
    <row r="33" spans="1:17">
      <c r="A33" s="6">
        <f>不提取累积情况!A32</f>
        <v>96</v>
      </c>
      <c r="B33" s="6">
        <v>29</v>
      </c>
      <c r="C33" s="7">
        <v>81341</v>
      </c>
      <c r="D33" s="7">
        <v>22500</v>
      </c>
      <c r="E33" s="7">
        <v>165664</v>
      </c>
      <c r="F33" s="7">
        <v>83329</v>
      </c>
      <c r="G33" s="8">
        <v>0</v>
      </c>
      <c r="H33" s="7">
        <v>307803</v>
      </c>
      <c r="I33" s="7">
        <v>391132</v>
      </c>
      <c r="L33" s="15">
        <f t="shared" si="2"/>
        <v>29</v>
      </c>
      <c r="M33" s="13"/>
      <c r="N33" s="14">
        <f t="shared" si="4"/>
        <v>22500</v>
      </c>
      <c r="O33" s="14"/>
      <c r="P33" s="13"/>
      <c r="Q33" s="14">
        <f t="shared" si="0"/>
        <v>22500</v>
      </c>
    </row>
    <row r="34" spans="1:17">
      <c r="A34" s="6">
        <f>不提取累积情况!A33</f>
        <v>97</v>
      </c>
      <c r="B34" s="9">
        <v>30</v>
      </c>
      <c r="C34" s="10">
        <v>77063</v>
      </c>
      <c r="D34" s="10">
        <v>22500</v>
      </c>
      <c r="E34" s="10">
        <v>156950</v>
      </c>
      <c r="F34" s="10">
        <v>79103</v>
      </c>
      <c r="G34" s="11">
        <v>0</v>
      </c>
      <c r="H34" s="10">
        <v>322533</v>
      </c>
      <c r="I34" s="10">
        <v>401636</v>
      </c>
      <c r="L34" s="15">
        <f t="shared" si="2"/>
        <v>30</v>
      </c>
      <c r="M34" s="13"/>
      <c r="N34" s="14">
        <f t="shared" si="4"/>
        <v>22500</v>
      </c>
      <c r="O34" s="14"/>
      <c r="P34" s="13"/>
      <c r="Q34" s="14">
        <f t="shared" si="0"/>
        <v>22500</v>
      </c>
    </row>
    <row r="35" spans="1:17">
      <c r="A35" s="6">
        <f>不提取累积情况!A34</f>
        <v>98</v>
      </c>
      <c r="B35" s="3">
        <v>31</v>
      </c>
      <c r="C35" s="4">
        <v>73261</v>
      </c>
      <c r="D35" s="4">
        <v>22500</v>
      </c>
      <c r="E35" s="4">
        <v>148753</v>
      </c>
      <c r="F35" s="4">
        <v>75120</v>
      </c>
      <c r="G35" s="5">
        <v>0</v>
      </c>
      <c r="H35" s="4">
        <v>329487</v>
      </c>
      <c r="I35" s="4">
        <v>404607</v>
      </c>
      <c r="L35" s="15">
        <f t="shared" si="2"/>
        <v>31</v>
      </c>
      <c r="M35" s="13"/>
      <c r="N35" s="14">
        <f t="shared" si="4"/>
        <v>22500</v>
      </c>
      <c r="O35" s="14"/>
      <c r="P35" s="13"/>
      <c r="Q35" s="14">
        <f t="shared" si="0"/>
        <v>22500</v>
      </c>
    </row>
    <row r="36" spans="1:17">
      <c r="A36" s="6">
        <f>不提取累积情况!A35</f>
        <v>99</v>
      </c>
      <c r="B36" s="6">
        <v>32</v>
      </c>
      <c r="C36" s="7">
        <v>69461</v>
      </c>
      <c r="D36" s="7">
        <v>22500</v>
      </c>
      <c r="E36" s="7">
        <v>141037</v>
      </c>
      <c r="F36" s="7">
        <v>71365</v>
      </c>
      <c r="G36" s="8">
        <v>0</v>
      </c>
      <c r="H36" s="7">
        <v>336232</v>
      </c>
      <c r="I36" s="7">
        <v>407596</v>
      </c>
      <c r="L36" s="15">
        <f t="shared" si="2"/>
        <v>32</v>
      </c>
      <c r="M36" s="13"/>
      <c r="N36" s="14">
        <f t="shared" si="4"/>
        <v>22500</v>
      </c>
      <c r="O36" s="14"/>
      <c r="P36" s="13"/>
      <c r="Q36" s="14">
        <f t="shared" si="0"/>
        <v>22500</v>
      </c>
    </row>
    <row r="37" spans="1:17">
      <c r="A37" s="6">
        <f>不提取累积情况!A36</f>
        <v>100</v>
      </c>
      <c r="B37" s="6">
        <v>33</v>
      </c>
      <c r="C37" s="7">
        <v>65887</v>
      </c>
      <c r="D37" s="7">
        <v>22500</v>
      </c>
      <c r="E37" s="7">
        <v>133780</v>
      </c>
      <c r="F37" s="7">
        <v>68094</v>
      </c>
      <c r="G37" s="8">
        <v>0</v>
      </c>
      <c r="H37" s="7">
        <v>343013</v>
      </c>
      <c r="I37" s="7">
        <v>411107</v>
      </c>
      <c r="L37" s="15">
        <f t="shared" si="2"/>
        <v>33</v>
      </c>
      <c r="M37" s="13"/>
      <c r="N37" s="14">
        <f t="shared" si="4"/>
        <v>22500</v>
      </c>
      <c r="O37" s="14"/>
      <c r="P37" s="13"/>
      <c r="Q37" s="14">
        <f t="shared" si="0"/>
        <v>22500</v>
      </c>
    </row>
    <row r="38" spans="1:17">
      <c r="A38" s="6"/>
      <c r="B38" s="6">
        <v>34</v>
      </c>
      <c r="C38" s="7">
        <v>62525</v>
      </c>
      <c r="D38" s="7">
        <v>22500</v>
      </c>
      <c r="E38" s="7">
        <v>126955</v>
      </c>
      <c r="F38" s="7">
        <v>65001</v>
      </c>
      <c r="G38" s="8">
        <v>0</v>
      </c>
      <c r="H38" s="7">
        <v>349761</v>
      </c>
      <c r="I38" s="7">
        <v>414761</v>
      </c>
      <c r="L38" s="15">
        <f t="shared" si="2"/>
        <v>34</v>
      </c>
      <c r="M38" s="13"/>
      <c r="N38" s="14">
        <f t="shared" si="4"/>
        <v>22500</v>
      </c>
      <c r="O38" s="14"/>
      <c r="P38" s="13"/>
      <c r="Q38" s="14">
        <f t="shared" si="0"/>
        <v>22500</v>
      </c>
    </row>
    <row r="39" spans="1:17">
      <c r="A39" s="9"/>
      <c r="B39" s="9">
        <v>35</v>
      </c>
      <c r="C39" s="10">
        <v>59363</v>
      </c>
      <c r="D39" s="10">
        <v>22500</v>
      </c>
      <c r="E39" s="10">
        <v>120534</v>
      </c>
      <c r="F39" s="10">
        <v>62075</v>
      </c>
      <c r="G39" s="11">
        <v>0</v>
      </c>
      <c r="H39" s="10">
        <v>356540</v>
      </c>
      <c r="I39" s="10">
        <v>418615</v>
      </c>
      <c r="L39" s="15">
        <f t="shared" si="2"/>
        <v>35</v>
      </c>
      <c r="M39" s="13"/>
      <c r="N39" s="14">
        <f t="shared" si="4"/>
        <v>22500</v>
      </c>
      <c r="O39" s="14"/>
      <c r="P39" s="13"/>
      <c r="Q39" s="14">
        <f t="shared" si="0"/>
        <v>22500</v>
      </c>
    </row>
    <row r="40" spans="1:17">
      <c r="A40" s="3"/>
      <c r="B40" s="3">
        <v>36</v>
      </c>
      <c r="C40" s="4">
        <v>56389</v>
      </c>
      <c r="D40" s="4">
        <v>22500</v>
      </c>
      <c r="E40" s="4">
        <v>114494</v>
      </c>
      <c r="F40" s="4">
        <v>59194</v>
      </c>
      <c r="G40" s="5">
        <v>0</v>
      </c>
      <c r="H40" s="4">
        <v>363520</v>
      </c>
      <c r="I40" s="4">
        <v>422713</v>
      </c>
      <c r="L40" s="15">
        <f t="shared" si="2"/>
        <v>36</v>
      </c>
      <c r="M40" s="13"/>
      <c r="N40" s="14">
        <f t="shared" si="4"/>
        <v>22500</v>
      </c>
      <c r="O40" s="14"/>
      <c r="P40" s="13"/>
      <c r="Q40" s="14">
        <f t="shared" si="0"/>
        <v>22500</v>
      </c>
    </row>
    <row r="41" spans="1:17">
      <c r="A41" s="6"/>
      <c r="B41" s="6">
        <v>37</v>
      </c>
      <c r="C41" s="7">
        <v>53590</v>
      </c>
      <c r="D41" s="7">
        <v>22500</v>
      </c>
      <c r="E41" s="7">
        <v>108812</v>
      </c>
      <c r="F41" s="7">
        <v>56691</v>
      </c>
      <c r="G41" s="8">
        <v>0</v>
      </c>
      <c r="H41" s="7">
        <v>370287</v>
      </c>
      <c r="I41" s="7">
        <v>426978</v>
      </c>
      <c r="L41" s="15">
        <f t="shared" si="2"/>
        <v>37</v>
      </c>
      <c r="M41" s="13"/>
      <c r="N41" s="14">
        <f t="shared" si="4"/>
        <v>22500</v>
      </c>
      <c r="O41" s="14"/>
      <c r="P41" s="13"/>
      <c r="Q41" s="14">
        <f t="shared" si="0"/>
        <v>22500</v>
      </c>
    </row>
    <row r="42" spans="1:17">
      <c r="A42" s="6"/>
      <c r="B42" s="6">
        <v>38</v>
      </c>
      <c r="C42" s="7">
        <v>50957</v>
      </c>
      <c r="D42" s="7">
        <v>22500</v>
      </c>
      <c r="E42" s="7">
        <v>103466</v>
      </c>
      <c r="F42" s="7">
        <v>54320</v>
      </c>
      <c r="G42" s="8">
        <v>0</v>
      </c>
      <c r="H42" s="7">
        <v>377237</v>
      </c>
      <c r="I42" s="7">
        <v>431556</v>
      </c>
      <c r="L42" s="15">
        <f t="shared" si="2"/>
        <v>38</v>
      </c>
      <c r="M42" s="13"/>
      <c r="N42" s="14">
        <f t="shared" si="4"/>
        <v>22500</v>
      </c>
      <c r="O42" s="14"/>
      <c r="P42" s="13"/>
      <c r="Q42" s="14">
        <f t="shared" si="0"/>
        <v>22500</v>
      </c>
    </row>
    <row r="43" spans="1:17">
      <c r="A43" s="6"/>
      <c r="B43" s="6">
        <v>39</v>
      </c>
      <c r="C43" s="7">
        <v>48479</v>
      </c>
      <c r="D43" s="7">
        <v>22500</v>
      </c>
      <c r="E43" s="7">
        <v>98435</v>
      </c>
      <c r="F43" s="7">
        <v>51875</v>
      </c>
      <c r="G43" s="8">
        <v>0</v>
      </c>
      <c r="H43" s="7">
        <v>384389</v>
      </c>
      <c r="I43" s="7">
        <v>436264</v>
      </c>
      <c r="L43" s="15">
        <f t="shared" si="2"/>
        <v>39</v>
      </c>
      <c r="M43" s="13"/>
      <c r="N43" s="14">
        <f t="shared" si="4"/>
        <v>22500</v>
      </c>
      <c r="O43" s="14"/>
      <c r="P43" s="13"/>
      <c r="Q43" s="14">
        <f t="shared" si="0"/>
        <v>22500</v>
      </c>
    </row>
    <row r="44" spans="1:17">
      <c r="A44" s="9"/>
      <c r="B44" s="9">
        <v>40</v>
      </c>
      <c r="C44" s="10">
        <v>46363</v>
      </c>
      <c r="D44" s="10">
        <v>22500</v>
      </c>
      <c r="E44" s="10">
        <v>94139</v>
      </c>
      <c r="F44" s="10">
        <v>50063</v>
      </c>
      <c r="G44" s="11">
        <v>0</v>
      </c>
      <c r="H44" s="10">
        <v>392747</v>
      </c>
      <c r="I44" s="10">
        <v>442810</v>
      </c>
      <c r="L44" s="15">
        <f t="shared" si="2"/>
        <v>40</v>
      </c>
      <c r="M44" s="13"/>
      <c r="N44" s="14">
        <f t="shared" si="4"/>
        <v>22500</v>
      </c>
      <c r="O44" s="14"/>
      <c r="P44" s="13"/>
      <c r="Q44" s="14">
        <f t="shared" si="0"/>
        <v>22500</v>
      </c>
    </row>
    <row r="45" spans="1:17">
      <c r="A45" s="3"/>
      <c r="B45" s="3">
        <v>41</v>
      </c>
      <c r="C45" s="4">
        <v>44371</v>
      </c>
      <c r="D45" s="4">
        <v>22500</v>
      </c>
      <c r="E45" s="4">
        <v>90094</v>
      </c>
      <c r="F45" s="4">
        <v>48029</v>
      </c>
      <c r="G45" s="5">
        <v>0</v>
      </c>
      <c r="H45" s="4">
        <v>401639</v>
      </c>
      <c r="I45" s="4">
        <v>449668</v>
      </c>
      <c r="L45" s="15">
        <f t="shared" si="2"/>
        <v>41</v>
      </c>
      <c r="M45" s="13"/>
      <c r="N45" s="14">
        <f t="shared" si="4"/>
        <v>22500</v>
      </c>
      <c r="O45" s="14"/>
      <c r="P45" s="13"/>
      <c r="Q45" s="14">
        <f t="shared" si="0"/>
        <v>22500</v>
      </c>
    </row>
    <row r="46" spans="1:17">
      <c r="A46" s="6"/>
      <c r="B46" s="6">
        <v>42</v>
      </c>
      <c r="C46" s="7">
        <v>42497</v>
      </c>
      <c r="D46" s="7">
        <v>22500</v>
      </c>
      <c r="E46" s="7">
        <v>86288</v>
      </c>
      <c r="F46" s="7">
        <v>46112</v>
      </c>
      <c r="G46" s="8">
        <v>0</v>
      </c>
      <c r="H46" s="7">
        <v>410988</v>
      </c>
      <c r="I46" s="7">
        <v>457100</v>
      </c>
      <c r="L46" s="15">
        <f t="shared" si="2"/>
        <v>42</v>
      </c>
      <c r="M46" s="13"/>
      <c r="N46" s="14">
        <f t="shared" si="4"/>
        <v>22500</v>
      </c>
      <c r="O46" s="14"/>
      <c r="P46" s="13"/>
      <c r="Q46" s="14">
        <f t="shared" si="0"/>
        <v>22500</v>
      </c>
    </row>
    <row r="47" spans="1:17">
      <c r="A47" s="6"/>
      <c r="B47" s="6">
        <v>43</v>
      </c>
      <c r="C47" s="7">
        <v>40732</v>
      </c>
      <c r="D47" s="7">
        <v>22500</v>
      </c>
      <c r="E47" s="7">
        <v>82705</v>
      </c>
      <c r="F47" s="7">
        <v>44305</v>
      </c>
      <c r="G47" s="8">
        <v>0</v>
      </c>
      <c r="H47" s="7">
        <v>420555</v>
      </c>
      <c r="I47" s="7">
        <v>464860</v>
      </c>
      <c r="L47" s="15">
        <f t="shared" si="2"/>
        <v>43</v>
      </c>
      <c r="M47" s="13"/>
      <c r="N47" s="14">
        <f t="shared" si="4"/>
        <v>22500</v>
      </c>
      <c r="O47" s="14"/>
      <c r="P47" s="13"/>
      <c r="Q47" s="14">
        <f t="shared" si="0"/>
        <v>22500</v>
      </c>
    </row>
    <row r="48" spans="1:17">
      <c r="A48" s="6"/>
      <c r="B48" s="6">
        <v>44</v>
      </c>
      <c r="C48" s="7">
        <v>39072</v>
      </c>
      <c r="D48" s="7">
        <v>22500</v>
      </c>
      <c r="E48" s="7">
        <v>79334</v>
      </c>
      <c r="F48" s="7">
        <v>42602</v>
      </c>
      <c r="G48" s="8">
        <v>0</v>
      </c>
      <c r="H48" s="7">
        <v>430625</v>
      </c>
      <c r="I48" s="7">
        <v>473227</v>
      </c>
      <c r="L48" s="15">
        <f t="shared" si="2"/>
        <v>44</v>
      </c>
      <c r="M48" s="13"/>
      <c r="N48" s="14">
        <f t="shared" si="4"/>
        <v>22500</v>
      </c>
      <c r="O48" s="14"/>
      <c r="P48" s="13"/>
      <c r="Q48" s="14">
        <f t="shared" si="0"/>
        <v>22500</v>
      </c>
    </row>
    <row r="49" spans="1:17">
      <c r="A49" s="9"/>
      <c r="B49" s="9">
        <v>45</v>
      </c>
      <c r="C49" s="10">
        <v>37510</v>
      </c>
      <c r="D49" s="10">
        <v>22500</v>
      </c>
      <c r="E49" s="10">
        <v>76163</v>
      </c>
      <c r="F49" s="10">
        <v>40998</v>
      </c>
      <c r="G49" s="11">
        <v>0</v>
      </c>
      <c r="H49" s="10">
        <v>441134</v>
      </c>
      <c r="I49" s="10">
        <v>482133</v>
      </c>
      <c r="L49" s="15">
        <f t="shared" si="2"/>
        <v>45</v>
      </c>
      <c r="M49" s="13"/>
      <c r="N49" s="14">
        <f t="shared" si="4"/>
        <v>22500</v>
      </c>
      <c r="O49" s="14"/>
      <c r="P49" s="13"/>
      <c r="Q49" s="14">
        <f t="shared" si="0"/>
        <v>22500</v>
      </c>
    </row>
    <row r="50" spans="1:17">
      <c r="A50" s="3"/>
      <c r="B50" s="3">
        <v>46</v>
      </c>
      <c r="C50" s="4">
        <v>36224</v>
      </c>
      <c r="D50" s="4">
        <v>22500</v>
      </c>
      <c r="E50" s="4">
        <v>73180</v>
      </c>
      <c r="F50" s="4">
        <v>39488</v>
      </c>
      <c r="G50" s="5">
        <v>0</v>
      </c>
      <c r="H50" s="4">
        <v>452103</v>
      </c>
      <c r="I50" s="4">
        <v>491591</v>
      </c>
      <c r="L50" s="15">
        <f t="shared" si="2"/>
        <v>46</v>
      </c>
      <c r="M50" s="13"/>
      <c r="N50" s="14">
        <f t="shared" si="4"/>
        <v>22500</v>
      </c>
      <c r="O50" s="14"/>
      <c r="P50" s="13"/>
      <c r="Q50" s="14">
        <f t="shared" si="0"/>
        <v>22500</v>
      </c>
    </row>
    <row r="51" spans="1:17">
      <c r="A51" s="6"/>
      <c r="B51" s="6">
        <v>47</v>
      </c>
      <c r="C51" s="7">
        <v>34835</v>
      </c>
      <c r="D51" s="7">
        <v>22500</v>
      </c>
      <c r="E51" s="7">
        <v>70373</v>
      </c>
      <c r="F51" s="7">
        <v>38065</v>
      </c>
      <c r="G51" s="8">
        <v>0</v>
      </c>
      <c r="H51" s="7">
        <v>463550</v>
      </c>
      <c r="I51" s="7">
        <v>501615</v>
      </c>
      <c r="L51" s="15">
        <f t="shared" si="2"/>
        <v>47</v>
      </c>
      <c r="M51" s="13"/>
      <c r="N51" s="14">
        <f t="shared" si="4"/>
        <v>22500</v>
      </c>
      <c r="O51" s="14"/>
      <c r="P51" s="13"/>
      <c r="Q51" s="14">
        <f t="shared" si="0"/>
        <v>22500</v>
      </c>
    </row>
    <row r="52" spans="1:17">
      <c r="A52" s="6"/>
      <c r="B52" s="6">
        <v>48</v>
      </c>
      <c r="C52" s="7">
        <v>33529</v>
      </c>
      <c r="D52" s="7">
        <v>22500</v>
      </c>
      <c r="E52" s="7">
        <v>67735</v>
      </c>
      <c r="F52" s="7">
        <v>36780</v>
      </c>
      <c r="G52" s="8">
        <v>0</v>
      </c>
      <c r="H52" s="7">
        <v>475565</v>
      </c>
      <c r="I52" s="7">
        <v>512345</v>
      </c>
      <c r="L52" s="15">
        <f t="shared" si="2"/>
        <v>48</v>
      </c>
      <c r="M52" s="13"/>
      <c r="N52" s="14">
        <f t="shared" si="4"/>
        <v>22500</v>
      </c>
      <c r="O52" s="14"/>
      <c r="P52" s="13"/>
      <c r="Q52" s="14">
        <f t="shared" si="0"/>
        <v>22500</v>
      </c>
    </row>
    <row r="53" spans="1:17">
      <c r="A53" s="6"/>
      <c r="B53" s="6">
        <v>49</v>
      </c>
      <c r="C53" s="7">
        <v>32304</v>
      </c>
      <c r="D53" s="7">
        <v>22500</v>
      </c>
      <c r="E53" s="7">
        <v>65261</v>
      </c>
      <c r="F53" s="7">
        <v>35535</v>
      </c>
      <c r="G53" s="8">
        <v>0</v>
      </c>
      <c r="H53" s="7">
        <v>489719</v>
      </c>
      <c r="I53" s="7">
        <v>525254</v>
      </c>
      <c r="L53" s="15">
        <f t="shared" si="2"/>
        <v>49</v>
      </c>
      <c r="M53" s="13"/>
      <c r="N53" s="14">
        <f t="shared" si="4"/>
        <v>22500</v>
      </c>
      <c r="O53" s="14"/>
      <c r="P53" s="13"/>
      <c r="Q53" s="14">
        <f t="shared" si="0"/>
        <v>22500</v>
      </c>
    </row>
    <row r="54" spans="1:17">
      <c r="A54" s="9"/>
      <c r="B54" s="9">
        <v>50</v>
      </c>
      <c r="C54" s="10">
        <v>31153</v>
      </c>
      <c r="D54" s="10">
        <v>22500</v>
      </c>
      <c r="E54" s="10">
        <v>62935</v>
      </c>
      <c r="F54" s="10">
        <v>34362</v>
      </c>
      <c r="G54" s="11">
        <v>0</v>
      </c>
      <c r="H54" s="10">
        <v>502912</v>
      </c>
      <c r="I54" s="10">
        <v>537275</v>
      </c>
      <c r="L54" s="15">
        <f t="shared" si="2"/>
        <v>50</v>
      </c>
      <c r="M54" s="13"/>
      <c r="N54" s="14">
        <f t="shared" si="4"/>
        <v>22500</v>
      </c>
      <c r="O54" s="14"/>
      <c r="P54" s="13"/>
      <c r="Q54" s="14">
        <f t="shared" si="0"/>
        <v>22500</v>
      </c>
    </row>
    <row r="55" spans="1:17">
      <c r="A55" s="3"/>
      <c r="B55" s="3">
        <v>51</v>
      </c>
      <c r="C55" s="4">
        <v>30070</v>
      </c>
      <c r="D55" s="4">
        <v>22500</v>
      </c>
      <c r="E55" s="4">
        <v>60747</v>
      </c>
      <c r="F55" s="4">
        <v>33259</v>
      </c>
      <c r="G55" s="5">
        <v>0</v>
      </c>
      <c r="H55" s="4">
        <v>516714</v>
      </c>
      <c r="I55" s="4">
        <v>549973</v>
      </c>
      <c r="L55" s="15">
        <f t="shared" si="2"/>
        <v>51</v>
      </c>
      <c r="M55" s="13"/>
      <c r="N55" s="14">
        <f t="shared" si="4"/>
        <v>22500</v>
      </c>
      <c r="O55" s="14"/>
      <c r="P55" s="13"/>
      <c r="Q55" s="14">
        <f t="shared" si="0"/>
        <v>22500</v>
      </c>
    </row>
    <row r="56" spans="1:17">
      <c r="A56" s="6"/>
      <c r="B56" s="6">
        <v>52</v>
      </c>
      <c r="C56" s="7">
        <v>29052</v>
      </c>
      <c r="D56" s="7">
        <v>22500</v>
      </c>
      <c r="E56" s="7">
        <v>58690</v>
      </c>
      <c r="F56" s="7">
        <v>32221</v>
      </c>
      <c r="G56" s="8">
        <v>0</v>
      </c>
      <c r="H56" s="7">
        <v>531320</v>
      </c>
      <c r="I56" s="7">
        <v>563540</v>
      </c>
      <c r="L56" s="15">
        <f t="shared" si="2"/>
        <v>52</v>
      </c>
      <c r="M56" s="13"/>
      <c r="N56" s="14">
        <f t="shared" si="4"/>
        <v>22500</v>
      </c>
      <c r="O56" s="14"/>
      <c r="P56" s="13"/>
      <c r="Q56" s="14">
        <f t="shared" si="0"/>
        <v>22500</v>
      </c>
    </row>
    <row r="57" spans="1:17">
      <c r="A57" s="6"/>
      <c r="B57" s="6">
        <v>53</v>
      </c>
      <c r="C57" s="7">
        <v>28094</v>
      </c>
      <c r="D57" s="7">
        <v>22500</v>
      </c>
      <c r="E57" s="7">
        <v>56756</v>
      </c>
      <c r="F57" s="7">
        <v>31244</v>
      </c>
      <c r="G57" s="8">
        <v>0</v>
      </c>
      <c r="H57" s="7">
        <v>546733</v>
      </c>
      <c r="I57" s="7">
        <v>577977</v>
      </c>
      <c r="L57" s="15">
        <f t="shared" si="2"/>
        <v>53</v>
      </c>
      <c r="M57" s="13"/>
      <c r="N57" s="14">
        <f t="shared" si="4"/>
        <v>22500</v>
      </c>
      <c r="O57" s="14"/>
      <c r="P57" s="13"/>
      <c r="Q57" s="14">
        <f t="shared" si="0"/>
        <v>22500</v>
      </c>
    </row>
    <row r="58" spans="1:17">
      <c r="A58" s="6"/>
      <c r="B58" s="6">
        <v>54</v>
      </c>
      <c r="C58" s="7">
        <v>27195</v>
      </c>
      <c r="D58" s="7">
        <v>22500</v>
      </c>
      <c r="E58" s="7">
        <v>54939</v>
      </c>
      <c r="F58" s="7">
        <v>30381</v>
      </c>
      <c r="G58" s="8">
        <v>0</v>
      </c>
      <c r="H58" s="7">
        <v>563015</v>
      </c>
      <c r="I58" s="7">
        <v>593397</v>
      </c>
      <c r="L58" s="15">
        <f t="shared" si="2"/>
        <v>54</v>
      </c>
      <c r="M58" s="13"/>
      <c r="N58" s="14">
        <f t="shared" si="4"/>
        <v>22500</v>
      </c>
      <c r="O58" s="14"/>
      <c r="P58" s="13"/>
      <c r="Q58" s="14">
        <f t="shared" si="0"/>
        <v>22500</v>
      </c>
    </row>
    <row r="59" spans="1:17">
      <c r="A59" s="9"/>
      <c r="B59" s="9">
        <v>55</v>
      </c>
      <c r="C59" s="10">
        <v>26350</v>
      </c>
      <c r="D59" s="10">
        <v>22500</v>
      </c>
      <c r="E59" s="10">
        <v>53232</v>
      </c>
      <c r="F59" s="10">
        <v>29517</v>
      </c>
      <c r="G59" s="11">
        <v>0</v>
      </c>
      <c r="H59" s="10">
        <v>580224</v>
      </c>
      <c r="I59" s="10">
        <v>609741</v>
      </c>
      <c r="L59" s="15">
        <f t="shared" si="2"/>
        <v>55</v>
      </c>
      <c r="M59" s="13"/>
      <c r="N59" s="14">
        <f t="shared" si="4"/>
        <v>22500</v>
      </c>
      <c r="O59" s="14"/>
      <c r="P59" s="13"/>
      <c r="Q59" s="14">
        <f t="shared" si="0"/>
        <v>22500</v>
      </c>
    </row>
    <row r="60" spans="1:17">
      <c r="A60" s="3"/>
      <c r="B60" s="3">
        <v>56</v>
      </c>
      <c r="C60" s="4">
        <v>25556</v>
      </c>
      <c r="D60" s="4">
        <v>22500</v>
      </c>
      <c r="E60" s="4">
        <v>51628</v>
      </c>
      <c r="F60" s="4">
        <v>28705</v>
      </c>
      <c r="G60" s="5">
        <v>0</v>
      </c>
      <c r="H60" s="4">
        <v>598469</v>
      </c>
      <c r="I60" s="4">
        <v>627174</v>
      </c>
      <c r="L60" s="15">
        <f t="shared" si="2"/>
        <v>56</v>
      </c>
      <c r="M60" s="13"/>
      <c r="N60" s="14">
        <f t="shared" si="4"/>
        <v>22500</v>
      </c>
      <c r="O60" s="14"/>
      <c r="P60" s="13"/>
      <c r="Q60" s="14">
        <f t="shared" si="0"/>
        <v>22500</v>
      </c>
    </row>
    <row r="61" spans="1:17">
      <c r="A61" s="9"/>
      <c r="B61" s="6">
        <v>57</v>
      </c>
      <c r="C61" s="7">
        <v>24810</v>
      </c>
      <c r="D61" s="7">
        <v>22500</v>
      </c>
      <c r="E61" s="7">
        <v>50122</v>
      </c>
      <c r="F61" s="7">
        <v>27943</v>
      </c>
      <c r="G61" s="8">
        <v>0</v>
      </c>
      <c r="H61" s="7">
        <v>617799</v>
      </c>
      <c r="I61" s="7">
        <v>645742</v>
      </c>
      <c r="L61" s="15">
        <f t="shared" ref="L61:L104" si="5">B61</f>
        <v>57</v>
      </c>
      <c r="M61" s="13"/>
      <c r="N61" s="14">
        <f t="shared" ref="N61:N104" si="6">D61</f>
        <v>22500</v>
      </c>
      <c r="O61" s="14"/>
      <c r="P61" s="13"/>
      <c r="Q61" s="14">
        <f t="shared" ref="Q61:Q103" si="7">M61+N61+P61+O61</f>
        <v>22500</v>
      </c>
    </row>
    <row r="62" spans="1:17">
      <c r="B62" s="6">
        <v>58</v>
      </c>
      <c r="C62" s="7">
        <v>24110</v>
      </c>
      <c r="D62" s="7">
        <v>22500</v>
      </c>
      <c r="E62" s="7">
        <v>48708</v>
      </c>
      <c r="F62" s="7">
        <v>27228</v>
      </c>
      <c r="G62" s="8">
        <v>0</v>
      </c>
      <c r="H62" s="7">
        <v>638315</v>
      </c>
      <c r="I62" s="7">
        <v>665543</v>
      </c>
      <c r="L62" s="15">
        <f t="shared" si="5"/>
        <v>58</v>
      </c>
      <c r="M62" s="13"/>
      <c r="N62" s="14">
        <f t="shared" si="6"/>
        <v>22500</v>
      </c>
      <c r="O62" s="14"/>
      <c r="P62" s="13"/>
      <c r="Q62" s="14">
        <f t="shared" si="7"/>
        <v>22500</v>
      </c>
    </row>
    <row r="63" spans="1:17">
      <c r="B63" s="6">
        <v>59</v>
      </c>
      <c r="C63" s="7">
        <v>23454</v>
      </c>
      <c r="D63" s="7">
        <v>22500</v>
      </c>
      <c r="E63" s="7">
        <v>47381</v>
      </c>
      <c r="F63" s="7">
        <v>26557</v>
      </c>
      <c r="G63" s="8">
        <v>0</v>
      </c>
      <c r="H63" s="7">
        <v>660016</v>
      </c>
      <c r="I63" s="7">
        <v>686573</v>
      </c>
      <c r="L63" s="15">
        <f t="shared" si="5"/>
        <v>59</v>
      </c>
      <c r="M63" s="13"/>
      <c r="N63" s="14">
        <f t="shared" si="6"/>
        <v>22500</v>
      </c>
      <c r="O63" s="14"/>
      <c r="P63" s="13"/>
      <c r="Q63" s="14">
        <f t="shared" si="7"/>
        <v>22500</v>
      </c>
    </row>
    <row r="64" spans="1:17">
      <c r="B64" s="9">
        <v>60</v>
      </c>
      <c r="C64" s="10">
        <v>22837</v>
      </c>
      <c r="D64" s="10">
        <v>22500</v>
      </c>
      <c r="E64" s="10">
        <v>46136</v>
      </c>
      <c r="F64" s="10">
        <v>25928</v>
      </c>
      <c r="G64" s="11">
        <v>0</v>
      </c>
      <c r="H64" s="10">
        <v>683043</v>
      </c>
      <c r="I64" s="10">
        <v>708972</v>
      </c>
      <c r="L64" s="15">
        <f t="shared" si="5"/>
        <v>60</v>
      </c>
      <c r="M64" s="13"/>
      <c r="N64" s="14">
        <f t="shared" si="6"/>
        <v>22500</v>
      </c>
      <c r="O64" s="14"/>
      <c r="P64" s="13"/>
      <c r="Q64" s="14">
        <f t="shared" si="7"/>
        <v>22500</v>
      </c>
    </row>
    <row r="65" spans="2:17">
      <c r="B65" s="3">
        <v>61</v>
      </c>
      <c r="C65" s="4">
        <v>22259</v>
      </c>
      <c r="D65" s="4">
        <v>22500</v>
      </c>
      <c r="E65" s="4">
        <v>44968</v>
      </c>
      <c r="F65" s="4">
        <v>25340</v>
      </c>
      <c r="G65" s="5">
        <v>0</v>
      </c>
      <c r="H65" s="4">
        <v>707489</v>
      </c>
      <c r="I65" s="4">
        <v>732829</v>
      </c>
      <c r="L65" s="15">
        <f t="shared" si="5"/>
        <v>61</v>
      </c>
      <c r="M65" s="13"/>
      <c r="N65" s="14">
        <f t="shared" si="6"/>
        <v>22500</v>
      </c>
      <c r="O65" s="14"/>
      <c r="P65" s="13"/>
      <c r="Q65" s="14">
        <f t="shared" si="7"/>
        <v>22500</v>
      </c>
    </row>
    <row r="66" spans="2:17">
      <c r="B66" s="6">
        <v>62</v>
      </c>
      <c r="C66" s="7">
        <v>21718</v>
      </c>
      <c r="D66" s="7">
        <v>22500</v>
      </c>
      <c r="E66" s="7">
        <v>43874</v>
      </c>
      <c r="F66" s="7">
        <v>24789</v>
      </c>
      <c r="G66" s="8">
        <v>0</v>
      </c>
      <c r="H66" s="7">
        <v>733487</v>
      </c>
      <c r="I66" s="7">
        <v>758276</v>
      </c>
      <c r="L66" s="15">
        <f t="shared" si="5"/>
        <v>62</v>
      </c>
      <c r="M66" s="13"/>
      <c r="N66" s="14">
        <f t="shared" si="6"/>
        <v>22500</v>
      </c>
      <c r="O66" s="14"/>
      <c r="P66" s="13"/>
      <c r="Q66" s="14">
        <f t="shared" si="7"/>
        <v>22500</v>
      </c>
    </row>
    <row r="67" spans="2:17">
      <c r="B67" s="6">
        <v>63</v>
      </c>
      <c r="C67" s="7">
        <v>21210</v>
      </c>
      <c r="D67" s="7">
        <v>22500</v>
      </c>
      <c r="E67" s="7">
        <v>42849</v>
      </c>
      <c r="F67" s="7">
        <v>24295</v>
      </c>
      <c r="G67" s="8">
        <v>0</v>
      </c>
      <c r="H67" s="7">
        <v>761033</v>
      </c>
      <c r="I67" s="7">
        <v>785328</v>
      </c>
      <c r="L67" s="15">
        <f t="shared" si="5"/>
        <v>63</v>
      </c>
      <c r="M67" s="13"/>
      <c r="N67" s="14">
        <f t="shared" si="6"/>
        <v>22500</v>
      </c>
      <c r="O67" s="14"/>
      <c r="P67" s="13"/>
      <c r="Q67" s="14">
        <f t="shared" si="7"/>
        <v>22500</v>
      </c>
    </row>
    <row r="68" spans="2:17">
      <c r="B68" s="6">
        <v>64</v>
      </c>
      <c r="C68" s="7">
        <v>20735</v>
      </c>
      <c r="D68" s="7">
        <v>22500</v>
      </c>
      <c r="E68" s="7">
        <v>41888</v>
      </c>
      <c r="F68" s="7">
        <v>23834</v>
      </c>
      <c r="G68" s="8">
        <v>0</v>
      </c>
      <c r="H68" s="7">
        <v>790301</v>
      </c>
      <c r="I68" s="7">
        <v>814135</v>
      </c>
      <c r="L68" s="15">
        <f t="shared" si="5"/>
        <v>64</v>
      </c>
      <c r="M68" s="13"/>
      <c r="N68" s="14">
        <f t="shared" si="6"/>
        <v>22500</v>
      </c>
      <c r="O68" s="14"/>
      <c r="P68" s="13"/>
      <c r="Q68" s="14">
        <f t="shared" si="7"/>
        <v>22500</v>
      </c>
    </row>
    <row r="69" spans="2:17">
      <c r="B69" s="9">
        <v>65</v>
      </c>
      <c r="C69" s="10">
        <v>20289</v>
      </c>
      <c r="D69" s="10">
        <v>22500</v>
      </c>
      <c r="E69" s="10">
        <v>40989</v>
      </c>
      <c r="F69" s="10">
        <v>23405</v>
      </c>
      <c r="G69" s="11">
        <v>0</v>
      </c>
      <c r="H69" s="10">
        <v>821457</v>
      </c>
      <c r="I69" s="10">
        <v>844862</v>
      </c>
      <c r="L69" s="15">
        <f t="shared" si="5"/>
        <v>65</v>
      </c>
      <c r="M69" s="13"/>
      <c r="N69" s="14">
        <f t="shared" si="6"/>
        <v>22500</v>
      </c>
      <c r="O69" s="14"/>
      <c r="P69" s="13"/>
      <c r="Q69" s="14">
        <f t="shared" si="7"/>
        <v>22500</v>
      </c>
    </row>
    <row r="70" spans="2:17">
      <c r="B70" s="3">
        <v>66</v>
      </c>
      <c r="C70" s="4">
        <v>19873</v>
      </c>
      <c r="D70" s="4">
        <v>22500</v>
      </c>
      <c r="E70" s="4">
        <v>40148</v>
      </c>
      <c r="F70" s="4">
        <v>23005</v>
      </c>
      <c r="G70" s="5">
        <v>0</v>
      </c>
      <c r="H70" s="4">
        <v>854540</v>
      </c>
      <c r="I70" s="4">
        <v>877544</v>
      </c>
      <c r="L70" s="15">
        <f t="shared" si="5"/>
        <v>66</v>
      </c>
      <c r="M70" s="13"/>
      <c r="N70" s="14">
        <f t="shared" si="6"/>
        <v>22500</v>
      </c>
      <c r="O70" s="14"/>
      <c r="P70" s="13"/>
      <c r="Q70" s="14">
        <f t="shared" si="7"/>
        <v>22500</v>
      </c>
    </row>
    <row r="71" spans="2:17">
      <c r="B71" s="6">
        <v>67</v>
      </c>
      <c r="C71" s="7">
        <v>19484</v>
      </c>
      <c r="D71" s="7">
        <v>22500</v>
      </c>
      <c r="E71" s="7">
        <v>39361</v>
      </c>
      <c r="F71" s="7">
        <v>22632</v>
      </c>
      <c r="G71" s="8">
        <v>0</v>
      </c>
      <c r="H71" s="7">
        <v>889711</v>
      </c>
      <c r="I71" s="7">
        <v>912343</v>
      </c>
      <c r="L71" s="15">
        <f t="shared" si="5"/>
        <v>67</v>
      </c>
      <c r="M71" s="13"/>
      <c r="N71" s="14">
        <f t="shared" si="6"/>
        <v>22500</v>
      </c>
      <c r="O71" s="14"/>
      <c r="P71" s="13"/>
      <c r="Q71" s="14">
        <f t="shared" si="7"/>
        <v>22500</v>
      </c>
    </row>
    <row r="72" spans="2:17">
      <c r="B72" s="6">
        <v>68</v>
      </c>
      <c r="C72" s="7">
        <v>19120</v>
      </c>
      <c r="D72" s="7">
        <v>22500</v>
      </c>
      <c r="E72" s="7">
        <v>38626</v>
      </c>
      <c r="F72" s="7">
        <v>22326</v>
      </c>
      <c r="G72" s="8">
        <v>0</v>
      </c>
      <c r="H72" s="7">
        <v>927091</v>
      </c>
      <c r="I72" s="7">
        <v>949416</v>
      </c>
      <c r="L72" s="15">
        <f t="shared" si="5"/>
        <v>68</v>
      </c>
      <c r="M72" s="13"/>
      <c r="N72" s="14">
        <f t="shared" si="6"/>
        <v>22500</v>
      </c>
      <c r="O72" s="14"/>
      <c r="P72" s="13"/>
      <c r="Q72" s="14">
        <f t="shared" si="7"/>
        <v>22500</v>
      </c>
    </row>
    <row r="73" spans="2:17">
      <c r="B73" s="6">
        <v>69</v>
      </c>
      <c r="C73" s="7">
        <v>18780</v>
      </c>
      <c r="D73" s="7">
        <v>22500</v>
      </c>
      <c r="E73" s="7">
        <v>37939</v>
      </c>
      <c r="F73" s="7">
        <v>21989</v>
      </c>
      <c r="G73" s="8">
        <v>0</v>
      </c>
      <c r="H73" s="7">
        <v>966874</v>
      </c>
      <c r="I73" s="7">
        <v>988863</v>
      </c>
      <c r="L73" s="15">
        <f t="shared" si="5"/>
        <v>69</v>
      </c>
      <c r="M73" s="13"/>
      <c r="N73" s="14">
        <f t="shared" si="6"/>
        <v>22500</v>
      </c>
      <c r="O73" s="14"/>
      <c r="P73" s="13"/>
      <c r="Q73" s="14">
        <f t="shared" si="7"/>
        <v>22500</v>
      </c>
    </row>
    <row r="74" spans="2:17">
      <c r="B74" s="9">
        <v>70</v>
      </c>
      <c r="C74" s="10">
        <v>18463</v>
      </c>
      <c r="D74" s="10">
        <v>22500</v>
      </c>
      <c r="E74" s="10">
        <v>37298</v>
      </c>
      <c r="F74" s="10">
        <v>21708</v>
      </c>
      <c r="G74" s="11">
        <v>0</v>
      </c>
      <c r="H74" s="10">
        <v>1009215</v>
      </c>
      <c r="I74" s="10">
        <v>1030923</v>
      </c>
      <c r="L74" s="15">
        <f t="shared" si="5"/>
        <v>70</v>
      </c>
      <c r="M74" s="13"/>
      <c r="N74" s="14">
        <f t="shared" si="6"/>
        <v>22500</v>
      </c>
      <c r="O74" s="14"/>
      <c r="P74" s="13"/>
      <c r="Q74" s="14">
        <f t="shared" si="7"/>
        <v>22500</v>
      </c>
    </row>
    <row r="75" spans="2:17">
      <c r="B75" s="3">
        <v>71</v>
      </c>
      <c r="C75" s="4">
        <v>18167</v>
      </c>
      <c r="D75" s="4">
        <v>22500</v>
      </c>
      <c r="E75" s="4">
        <v>36701</v>
      </c>
      <c r="F75" s="4">
        <v>21470</v>
      </c>
      <c r="G75" s="5">
        <v>0</v>
      </c>
      <c r="H75" s="4">
        <v>1054230</v>
      </c>
      <c r="I75" s="4">
        <v>1075700</v>
      </c>
      <c r="L75" s="15">
        <f t="shared" si="5"/>
        <v>71</v>
      </c>
      <c r="M75" s="13"/>
      <c r="N75" s="14">
        <f t="shared" si="6"/>
        <v>22500</v>
      </c>
      <c r="O75" s="14"/>
      <c r="P75" s="13"/>
      <c r="Q75" s="14">
        <f t="shared" si="7"/>
        <v>22500</v>
      </c>
    </row>
    <row r="76" spans="2:17">
      <c r="B76" s="6">
        <v>72</v>
      </c>
      <c r="C76" s="7">
        <v>17891</v>
      </c>
      <c r="D76" s="7">
        <v>22500</v>
      </c>
      <c r="E76" s="7">
        <v>36144</v>
      </c>
      <c r="F76" s="7">
        <v>21217</v>
      </c>
      <c r="G76" s="8">
        <v>0</v>
      </c>
      <c r="H76" s="7">
        <v>1102145</v>
      </c>
      <c r="I76" s="7">
        <v>1123361</v>
      </c>
      <c r="L76" s="15">
        <f t="shared" si="5"/>
        <v>72</v>
      </c>
      <c r="M76" s="13"/>
      <c r="N76" s="14">
        <f t="shared" si="6"/>
        <v>22500</v>
      </c>
      <c r="O76" s="14"/>
      <c r="P76" s="13"/>
      <c r="Q76" s="14">
        <f t="shared" si="7"/>
        <v>22500</v>
      </c>
    </row>
    <row r="77" spans="2:17">
      <c r="B77" s="6">
        <v>73</v>
      </c>
      <c r="C77" s="7">
        <v>17635</v>
      </c>
      <c r="D77" s="7">
        <v>22500</v>
      </c>
      <c r="E77" s="7">
        <v>35626</v>
      </c>
      <c r="F77" s="7">
        <v>21019</v>
      </c>
      <c r="G77" s="8">
        <v>0</v>
      </c>
      <c r="H77" s="7">
        <v>1153148</v>
      </c>
      <c r="I77" s="7">
        <v>1174167</v>
      </c>
      <c r="L77" s="15">
        <f t="shared" si="5"/>
        <v>73</v>
      </c>
      <c r="M77" s="13"/>
      <c r="N77" s="14">
        <f t="shared" si="6"/>
        <v>22500</v>
      </c>
      <c r="O77" s="14"/>
      <c r="P77" s="13"/>
      <c r="Q77" s="14">
        <f t="shared" si="7"/>
        <v>22500</v>
      </c>
    </row>
    <row r="78" spans="2:17">
      <c r="B78" s="6">
        <v>74</v>
      </c>
      <c r="C78" s="7">
        <v>17397</v>
      </c>
      <c r="D78" s="7">
        <v>22500</v>
      </c>
      <c r="E78" s="7">
        <v>35145</v>
      </c>
      <c r="F78" s="7">
        <v>20806</v>
      </c>
      <c r="G78" s="8">
        <v>0</v>
      </c>
      <c r="H78" s="7">
        <v>1207426</v>
      </c>
      <c r="I78" s="7">
        <v>1228232</v>
      </c>
      <c r="L78" s="15">
        <f t="shared" si="5"/>
        <v>74</v>
      </c>
      <c r="M78" s="13"/>
      <c r="N78" s="14">
        <f t="shared" si="6"/>
        <v>22500</v>
      </c>
      <c r="O78" s="14"/>
      <c r="P78" s="13"/>
      <c r="Q78" s="14">
        <f t="shared" si="7"/>
        <v>22500</v>
      </c>
    </row>
    <row r="79" spans="2:17">
      <c r="B79" s="9">
        <v>75</v>
      </c>
      <c r="C79" s="10">
        <v>17349</v>
      </c>
      <c r="D79" s="10">
        <v>22500</v>
      </c>
      <c r="E79" s="10">
        <v>34697</v>
      </c>
      <c r="F79" s="10">
        <v>20610</v>
      </c>
      <c r="G79" s="11">
        <v>0</v>
      </c>
      <c r="H79" s="10">
        <v>1265201</v>
      </c>
      <c r="I79" s="10">
        <v>1285812</v>
      </c>
      <c r="L79" s="15">
        <f t="shared" si="5"/>
        <v>75</v>
      </c>
      <c r="M79" s="13"/>
      <c r="N79" s="14">
        <f t="shared" si="6"/>
        <v>22500</v>
      </c>
      <c r="O79" s="14"/>
      <c r="P79" s="13"/>
      <c r="Q79" s="14">
        <f t="shared" si="7"/>
        <v>22500</v>
      </c>
    </row>
    <row r="80" spans="2:17">
      <c r="B80" s="3">
        <v>76</v>
      </c>
      <c r="C80" s="4">
        <v>17141</v>
      </c>
      <c r="D80" s="4">
        <v>22500</v>
      </c>
      <c r="E80" s="4">
        <v>34282</v>
      </c>
      <c r="F80" s="4">
        <v>20432</v>
      </c>
      <c r="G80" s="5">
        <v>0</v>
      </c>
      <c r="H80" s="4">
        <v>1326730</v>
      </c>
      <c r="I80" s="4">
        <v>1347163</v>
      </c>
      <c r="L80" s="15">
        <f t="shared" si="5"/>
        <v>76</v>
      </c>
      <c r="M80" s="13"/>
      <c r="N80" s="14">
        <f t="shared" si="6"/>
        <v>22500</v>
      </c>
      <c r="O80" s="14"/>
      <c r="P80" s="13"/>
      <c r="Q80" s="14">
        <f t="shared" si="7"/>
        <v>22500</v>
      </c>
    </row>
    <row r="81" spans="2:17">
      <c r="B81" s="6">
        <v>77</v>
      </c>
      <c r="C81" s="7">
        <v>16949</v>
      </c>
      <c r="D81" s="7">
        <v>22500</v>
      </c>
      <c r="E81" s="7">
        <v>33898</v>
      </c>
      <c r="F81" s="7">
        <v>20305</v>
      </c>
      <c r="G81" s="8">
        <v>0</v>
      </c>
      <c r="H81" s="7">
        <v>1392166</v>
      </c>
      <c r="I81" s="7">
        <v>1412471</v>
      </c>
      <c r="L81" s="15">
        <f t="shared" si="5"/>
        <v>77</v>
      </c>
      <c r="M81" s="13"/>
      <c r="N81" s="14">
        <f t="shared" si="6"/>
        <v>22500</v>
      </c>
      <c r="O81" s="14"/>
      <c r="P81" s="13"/>
      <c r="Q81" s="14">
        <f t="shared" si="7"/>
        <v>22500</v>
      </c>
    </row>
    <row r="82" spans="2:17">
      <c r="B82" s="6">
        <v>78</v>
      </c>
      <c r="C82" s="7">
        <v>16771</v>
      </c>
      <c r="D82" s="7">
        <v>22500</v>
      </c>
      <c r="E82" s="7">
        <v>33543</v>
      </c>
      <c r="F82" s="7">
        <v>20193</v>
      </c>
      <c r="G82" s="8">
        <v>0</v>
      </c>
      <c r="H82" s="7">
        <v>1461866</v>
      </c>
      <c r="I82" s="7">
        <v>1482059</v>
      </c>
      <c r="L82" s="15">
        <f t="shared" si="5"/>
        <v>78</v>
      </c>
      <c r="M82" s="13"/>
      <c r="N82" s="14">
        <f t="shared" si="6"/>
        <v>22500</v>
      </c>
      <c r="O82" s="14"/>
      <c r="P82" s="13"/>
      <c r="Q82" s="14">
        <f t="shared" si="7"/>
        <v>22500</v>
      </c>
    </row>
    <row r="83" spans="2:17">
      <c r="B83" s="6">
        <v>79</v>
      </c>
      <c r="C83" s="7">
        <v>16607</v>
      </c>
      <c r="D83" s="7">
        <v>22500</v>
      </c>
      <c r="E83" s="7">
        <v>33215</v>
      </c>
      <c r="F83" s="7">
        <v>20062</v>
      </c>
      <c r="G83" s="8">
        <v>0</v>
      </c>
      <c r="H83" s="7">
        <v>1536054</v>
      </c>
      <c r="I83" s="7">
        <v>1556116</v>
      </c>
      <c r="L83" s="15">
        <f t="shared" si="5"/>
        <v>79</v>
      </c>
      <c r="M83" s="13"/>
      <c r="N83" s="14">
        <f t="shared" si="6"/>
        <v>22500</v>
      </c>
      <c r="O83" s="14"/>
      <c r="P83" s="13"/>
      <c r="Q83" s="14">
        <f t="shared" si="7"/>
        <v>22500</v>
      </c>
    </row>
    <row r="84" spans="2:17">
      <c r="B84" s="9">
        <v>80</v>
      </c>
      <c r="C84" s="10">
        <v>16456</v>
      </c>
      <c r="D84" s="10">
        <v>22500</v>
      </c>
      <c r="E84" s="10">
        <v>32913</v>
      </c>
      <c r="F84" s="10">
        <v>19978</v>
      </c>
      <c r="G84" s="11">
        <v>0</v>
      </c>
      <c r="H84" s="10">
        <v>1615054</v>
      </c>
      <c r="I84" s="10">
        <v>1635032</v>
      </c>
      <c r="L84" s="15">
        <f t="shared" si="5"/>
        <v>80</v>
      </c>
      <c r="M84" s="13"/>
      <c r="N84" s="14">
        <f t="shared" si="6"/>
        <v>22500</v>
      </c>
      <c r="O84" s="14"/>
      <c r="P84" s="13"/>
      <c r="Q84" s="14">
        <f t="shared" si="7"/>
        <v>22500</v>
      </c>
    </row>
    <row r="85" spans="2:17">
      <c r="B85" s="3">
        <v>81</v>
      </c>
      <c r="C85" s="4">
        <v>16317</v>
      </c>
      <c r="D85" s="4">
        <v>22500</v>
      </c>
      <c r="E85" s="4">
        <v>32635</v>
      </c>
      <c r="F85" s="4">
        <v>19907</v>
      </c>
      <c r="G85" s="5">
        <v>0</v>
      </c>
      <c r="H85" s="4">
        <v>1699156</v>
      </c>
      <c r="I85" s="4">
        <v>1719063</v>
      </c>
      <c r="L85" s="15">
        <f t="shared" si="5"/>
        <v>81</v>
      </c>
      <c r="M85" s="13"/>
      <c r="N85" s="14">
        <f t="shared" si="6"/>
        <v>22500</v>
      </c>
      <c r="O85" s="14"/>
      <c r="P85" s="13"/>
      <c r="Q85" s="14">
        <f t="shared" si="7"/>
        <v>22500</v>
      </c>
    </row>
    <row r="86" spans="2:17">
      <c r="B86" s="6">
        <v>82</v>
      </c>
      <c r="C86" s="7">
        <v>16190</v>
      </c>
      <c r="D86" s="7">
        <v>22500</v>
      </c>
      <c r="E86" s="7">
        <v>32380</v>
      </c>
      <c r="F86" s="7">
        <v>19816</v>
      </c>
      <c r="G86" s="8">
        <v>0</v>
      </c>
      <c r="H86" s="7">
        <v>1788719</v>
      </c>
      <c r="I86" s="7">
        <v>1808535</v>
      </c>
      <c r="L86" s="15">
        <f t="shared" si="5"/>
        <v>82</v>
      </c>
      <c r="M86" s="13"/>
      <c r="N86" s="14">
        <f t="shared" si="6"/>
        <v>22500</v>
      </c>
      <c r="O86" s="14"/>
      <c r="P86" s="13"/>
      <c r="Q86" s="14">
        <f t="shared" si="7"/>
        <v>22500</v>
      </c>
    </row>
    <row r="87" spans="2:17">
      <c r="B87" s="6">
        <v>83</v>
      </c>
      <c r="C87" s="7">
        <v>16073</v>
      </c>
      <c r="D87" s="7">
        <v>22500</v>
      </c>
      <c r="E87" s="7">
        <v>32146</v>
      </c>
      <c r="F87" s="7">
        <v>19770</v>
      </c>
      <c r="G87" s="8">
        <v>0</v>
      </c>
      <c r="H87" s="7">
        <v>1884070</v>
      </c>
      <c r="I87" s="7">
        <v>1903840</v>
      </c>
      <c r="L87" s="15">
        <f t="shared" si="5"/>
        <v>83</v>
      </c>
      <c r="M87" s="13"/>
      <c r="N87" s="14">
        <f t="shared" si="6"/>
        <v>22500</v>
      </c>
      <c r="O87" s="14"/>
      <c r="P87" s="13"/>
      <c r="Q87" s="14">
        <f t="shared" si="7"/>
        <v>22500</v>
      </c>
    </row>
    <row r="88" spans="2:17">
      <c r="B88" s="6">
        <v>84</v>
      </c>
      <c r="C88" s="7">
        <v>15967</v>
      </c>
      <c r="D88" s="7">
        <v>22500</v>
      </c>
      <c r="E88" s="7">
        <v>31934</v>
      </c>
      <c r="F88" s="7">
        <v>19735</v>
      </c>
      <c r="G88" s="8">
        <v>0</v>
      </c>
      <c r="H88" s="7">
        <v>1985636</v>
      </c>
      <c r="I88" s="7">
        <v>2005371</v>
      </c>
      <c r="L88" s="15">
        <f t="shared" si="5"/>
        <v>84</v>
      </c>
      <c r="M88" s="13"/>
      <c r="N88" s="14">
        <f t="shared" si="6"/>
        <v>22500</v>
      </c>
      <c r="O88" s="14"/>
      <c r="P88" s="13"/>
      <c r="Q88" s="14">
        <f t="shared" si="7"/>
        <v>22500</v>
      </c>
    </row>
    <row r="89" spans="2:17">
      <c r="B89" s="9">
        <v>85</v>
      </c>
      <c r="C89" s="10">
        <v>15870</v>
      </c>
      <c r="D89" s="10">
        <v>22500</v>
      </c>
      <c r="E89" s="10">
        <v>31740</v>
      </c>
      <c r="F89" s="10">
        <v>19679</v>
      </c>
      <c r="G89" s="11">
        <v>0</v>
      </c>
      <c r="H89" s="10">
        <v>2093780</v>
      </c>
      <c r="I89" s="10">
        <v>2113459</v>
      </c>
      <c r="L89" s="15">
        <f t="shared" si="5"/>
        <v>85</v>
      </c>
      <c r="M89" s="13"/>
      <c r="N89" s="14">
        <f t="shared" si="6"/>
        <v>22500</v>
      </c>
      <c r="O89" s="14"/>
      <c r="P89" s="13"/>
      <c r="Q89" s="14">
        <f t="shared" si="7"/>
        <v>22500</v>
      </c>
    </row>
    <row r="90" spans="2:17">
      <c r="B90" s="3">
        <v>86</v>
      </c>
      <c r="C90" s="4">
        <v>15783</v>
      </c>
      <c r="D90" s="4">
        <v>22500</v>
      </c>
      <c r="E90" s="4">
        <v>31565</v>
      </c>
      <c r="F90" s="4">
        <v>19665</v>
      </c>
      <c r="G90" s="5">
        <v>0</v>
      </c>
      <c r="H90" s="4">
        <v>2208901</v>
      </c>
      <c r="I90" s="4">
        <v>2228566</v>
      </c>
      <c r="L90" s="15">
        <f t="shared" si="5"/>
        <v>86</v>
      </c>
      <c r="M90" s="13"/>
      <c r="N90" s="14">
        <f t="shared" si="6"/>
        <v>22500</v>
      </c>
      <c r="O90" s="14"/>
      <c r="P90" s="13"/>
      <c r="Q90" s="14">
        <f t="shared" si="7"/>
        <v>22500</v>
      </c>
    </row>
    <row r="91" spans="2:17">
      <c r="B91" s="6">
        <v>87</v>
      </c>
      <c r="C91" s="7">
        <v>15704</v>
      </c>
      <c r="D91" s="7">
        <v>22500</v>
      </c>
      <c r="E91" s="7">
        <v>31407</v>
      </c>
      <c r="F91" s="7">
        <v>19661</v>
      </c>
      <c r="G91" s="8">
        <v>0</v>
      </c>
      <c r="H91" s="7">
        <v>2331528</v>
      </c>
      <c r="I91" s="7">
        <v>2351189</v>
      </c>
      <c r="L91" s="15">
        <f t="shared" si="5"/>
        <v>87</v>
      </c>
      <c r="M91" s="13"/>
      <c r="N91" s="14">
        <f t="shared" si="6"/>
        <v>22500</v>
      </c>
      <c r="O91" s="14"/>
      <c r="P91" s="13"/>
      <c r="Q91" s="14">
        <f t="shared" si="7"/>
        <v>22500</v>
      </c>
    </row>
    <row r="92" spans="2:17">
      <c r="B92" s="6">
        <v>88</v>
      </c>
      <c r="C92" s="7">
        <v>15633</v>
      </c>
      <c r="D92" s="7">
        <v>22500</v>
      </c>
      <c r="E92" s="7">
        <v>31266</v>
      </c>
      <c r="F92" s="7">
        <v>19635</v>
      </c>
      <c r="G92" s="8">
        <v>0</v>
      </c>
      <c r="H92" s="7">
        <v>2462130</v>
      </c>
      <c r="I92" s="7">
        <v>2481765</v>
      </c>
      <c r="L92" s="15">
        <f t="shared" si="5"/>
        <v>88</v>
      </c>
      <c r="M92" s="13"/>
      <c r="N92" s="14">
        <f t="shared" si="6"/>
        <v>22500</v>
      </c>
      <c r="O92" s="14"/>
      <c r="P92" s="13"/>
      <c r="Q92" s="14">
        <f t="shared" si="7"/>
        <v>22500</v>
      </c>
    </row>
    <row r="93" spans="2:17">
      <c r="B93" s="6">
        <v>89</v>
      </c>
      <c r="C93" s="7">
        <v>15570</v>
      </c>
      <c r="D93" s="7">
        <v>22500</v>
      </c>
      <c r="E93" s="7">
        <v>31140</v>
      </c>
      <c r="F93" s="7">
        <v>19649</v>
      </c>
      <c r="G93" s="8">
        <v>0</v>
      </c>
      <c r="H93" s="7">
        <v>2601179</v>
      </c>
      <c r="I93" s="7">
        <v>2620828</v>
      </c>
      <c r="L93" s="15">
        <f t="shared" si="5"/>
        <v>89</v>
      </c>
      <c r="M93" s="13"/>
      <c r="N93" s="14">
        <f t="shared" si="6"/>
        <v>22500</v>
      </c>
      <c r="O93" s="14"/>
      <c r="P93" s="13"/>
      <c r="Q93" s="14">
        <f t="shared" si="7"/>
        <v>22500</v>
      </c>
    </row>
    <row r="94" spans="2:17">
      <c r="B94" s="9">
        <v>90</v>
      </c>
      <c r="C94" s="10">
        <v>15514</v>
      </c>
      <c r="D94" s="10">
        <v>22500</v>
      </c>
      <c r="E94" s="10">
        <v>31028</v>
      </c>
      <c r="F94" s="10">
        <v>19641</v>
      </c>
      <c r="G94" s="11">
        <v>0</v>
      </c>
      <c r="H94" s="10">
        <v>2749278</v>
      </c>
      <c r="I94" s="10">
        <v>2768919</v>
      </c>
      <c r="L94" s="15">
        <f t="shared" si="5"/>
        <v>90</v>
      </c>
      <c r="M94" s="13"/>
      <c r="N94" s="14">
        <f t="shared" si="6"/>
        <v>22500</v>
      </c>
      <c r="O94" s="14"/>
      <c r="P94" s="13"/>
      <c r="Q94" s="14">
        <f t="shared" si="7"/>
        <v>22500</v>
      </c>
    </row>
    <row r="95" spans="2:17">
      <c r="B95" s="3">
        <v>91</v>
      </c>
      <c r="C95" s="4">
        <v>15465</v>
      </c>
      <c r="D95" s="4">
        <v>22500</v>
      </c>
      <c r="E95" s="4">
        <v>30931</v>
      </c>
      <c r="F95" s="4">
        <v>19734</v>
      </c>
      <c r="G95" s="5">
        <v>0</v>
      </c>
      <c r="H95" s="4">
        <v>2906943</v>
      </c>
      <c r="I95" s="4">
        <v>2926677</v>
      </c>
      <c r="L95" s="15">
        <f t="shared" si="5"/>
        <v>91</v>
      </c>
      <c r="M95" s="13"/>
      <c r="N95" s="14">
        <f t="shared" si="6"/>
        <v>22500</v>
      </c>
      <c r="O95" s="14"/>
      <c r="P95" s="13"/>
      <c r="Q95" s="14">
        <f t="shared" si="7"/>
        <v>22500</v>
      </c>
    </row>
    <row r="96" spans="2:17">
      <c r="B96" s="6">
        <v>92</v>
      </c>
      <c r="C96" s="7">
        <v>15423</v>
      </c>
      <c r="D96" s="7">
        <v>22500</v>
      </c>
      <c r="E96" s="7">
        <v>30846</v>
      </c>
      <c r="F96" s="7">
        <v>19772</v>
      </c>
      <c r="G96" s="8">
        <v>0</v>
      </c>
      <c r="H96" s="7">
        <v>3074879</v>
      </c>
      <c r="I96" s="7">
        <v>3094651</v>
      </c>
      <c r="L96" s="15">
        <f t="shared" si="5"/>
        <v>92</v>
      </c>
      <c r="M96" s="13"/>
      <c r="N96" s="14">
        <f t="shared" si="6"/>
        <v>22500</v>
      </c>
      <c r="O96" s="14"/>
      <c r="P96" s="13"/>
      <c r="Q96" s="14">
        <f t="shared" si="7"/>
        <v>22500</v>
      </c>
    </row>
    <row r="97" spans="2:17">
      <c r="B97" s="6">
        <v>93</v>
      </c>
      <c r="C97" s="7">
        <v>15387</v>
      </c>
      <c r="D97" s="7">
        <v>22500</v>
      </c>
      <c r="E97" s="7">
        <v>30774</v>
      </c>
      <c r="F97" s="7">
        <v>19849</v>
      </c>
      <c r="G97" s="8">
        <v>0</v>
      </c>
      <c r="H97" s="7">
        <v>3253706</v>
      </c>
      <c r="I97" s="7">
        <v>3273555</v>
      </c>
      <c r="L97" s="15">
        <f t="shared" si="5"/>
        <v>93</v>
      </c>
      <c r="M97" s="13"/>
      <c r="N97" s="14">
        <f t="shared" si="6"/>
        <v>22500</v>
      </c>
      <c r="O97" s="14"/>
      <c r="P97" s="13"/>
      <c r="Q97" s="14">
        <f t="shared" si="7"/>
        <v>22500</v>
      </c>
    </row>
    <row r="98" spans="2:17">
      <c r="B98" s="6">
        <v>94</v>
      </c>
      <c r="C98" s="7">
        <v>15357</v>
      </c>
      <c r="D98" s="7">
        <v>22500</v>
      </c>
      <c r="E98" s="7">
        <v>30713</v>
      </c>
      <c r="F98" s="7">
        <v>19902</v>
      </c>
      <c r="G98" s="8">
        <v>0</v>
      </c>
      <c r="H98" s="7">
        <v>3444205</v>
      </c>
      <c r="I98" s="7">
        <v>3464108</v>
      </c>
      <c r="L98" s="15">
        <f t="shared" si="5"/>
        <v>94</v>
      </c>
      <c r="M98" s="13"/>
      <c r="N98" s="14">
        <f t="shared" si="6"/>
        <v>22500</v>
      </c>
      <c r="O98" s="14"/>
      <c r="P98" s="13"/>
      <c r="Q98" s="14">
        <f t="shared" si="7"/>
        <v>22500</v>
      </c>
    </row>
    <row r="99" spans="2:17">
      <c r="B99" s="9">
        <v>95</v>
      </c>
      <c r="C99" s="10">
        <v>15332</v>
      </c>
      <c r="D99" s="10">
        <v>22500</v>
      </c>
      <c r="E99" s="10">
        <v>30664</v>
      </c>
      <c r="F99" s="10">
        <v>19947</v>
      </c>
      <c r="G99" s="11">
        <v>0</v>
      </c>
      <c r="H99" s="10">
        <v>3647073</v>
      </c>
      <c r="I99" s="10">
        <v>3667020</v>
      </c>
      <c r="L99" s="15">
        <f t="shared" si="5"/>
        <v>95</v>
      </c>
      <c r="M99" s="13"/>
      <c r="N99" s="14">
        <f t="shared" si="6"/>
        <v>22500</v>
      </c>
      <c r="O99" s="14"/>
      <c r="P99" s="13"/>
      <c r="Q99" s="14">
        <f t="shared" si="7"/>
        <v>22500</v>
      </c>
    </row>
    <row r="100" spans="2:17">
      <c r="B100" s="3">
        <v>96</v>
      </c>
      <c r="C100" s="4">
        <v>15312</v>
      </c>
      <c r="D100" s="4">
        <v>22500</v>
      </c>
      <c r="E100" s="4">
        <v>30625</v>
      </c>
      <c r="F100" s="4">
        <v>19998</v>
      </c>
      <c r="G100" s="5">
        <v>0</v>
      </c>
      <c r="H100" s="4">
        <v>3863107</v>
      </c>
      <c r="I100" s="4">
        <v>3883105</v>
      </c>
      <c r="L100" s="15">
        <f t="shared" si="5"/>
        <v>96</v>
      </c>
      <c r="M100" s="13"/>
      <c r="N100" s="14">
        <f t="shared" si="6"/>
        <v>22500</v>
      </c>
      <c r="O100" s="14"/>
      <c r="P100" s="13"/>
      <c r="Q100" s="14">
        <f t="shared" si="7"/>
        <v>22500</v>
      </c>
    </row>
    <row r="101" spans="2:17">
      <c r="B101" s="6">
        <v>97</v>
      </c>
      <c r="C101" s="7">
        <v>15298</v>
      </c>
      <c r="D101" s="7">
        <v>22500</v>
      </c>
      <c r="E101" s="7">
        <v>30596</v>
      </c>
      <c r="F101" s="7">
        <v>20071</v>
      </c>
      <c r="G101" s="8">
        <v>0</v>
      </c>
      <c r="H101" s="7">
        <v>4093205</v>
      </c>
      <c r="I101" s="7">
        <v>4113276</v>
      </c>
      <c r="L101" s="15">
        <f t="shared" si="5"/>
        <v>97</v>
      </c>
      <c r="M101" s="13"/>
      <c r="N101" s="14">
        <f t="shared" si="6"/>
        <v>22500</v>
      </c>
      <c r="O101" s="14"/>
      <c r="P101" s="13"/>
      <c r="Q101" s="14">
        <f t="shared" si="7"/>
        <v>22500</v>
      </c>
    </row>
    <row r="102" spans="2:17">
      <c r="B102" s="6">
        <v>98</v>
      </c>
      <c r="C102" s="7">
        <v>15288</v>
      </c>
      <c r="D102" s="7">
        <v>22500</v>
      </c>
      <c r="E102" s="7">
        <v>30576</v>
      </c>
      <c r="F102" s="7">
        <v>20149</v>
      </c>
      <c r="G102" s="8">
        <v>0</v>
      </c>
      <c r="H102" s="7">
        <v>4338246</v>
      </c>
      <c r="I102" s="7">
        <v>4358396</v>
      </c>
      <c r="L102" s="15">
        <f t="shared" si="5"/>
        <v>98</v>
      </c>
      <c r="M102" s="13"/>
      <c r="N102" s="14">
        <f t="shared" si="6"/>
        <v>22500</v>
      </c>
      <c r="O102" s="14"/>
      <c r="P102" s="13"/>
      <c r="Q102" s="14">
        <f t="shared" si="7"/>
        <v>22500</v>
      </c>
    </row>
    <row r="103" spans="2:17">
      <c r="B103" s="6">
        <v>99</v>
      </c>
      <c r="C103" s="7">
        <v>15282</v>
      </c>
      <c r="D103" s="7">
        <v>22500</v>
      </c>
      <c r="E103" s="7">
        <v>30565</v>
      </c>
      <c r="F103" s="7">
        <v>20234</v>
      </c>
      <c r="G103" s="8">
        <v>0</v>
      </c>
      <c r="H103" s="7">
        <v>4599210</v>
      </c>
      <c r="I103" s="7">
        <v>4619444</v>
      </c>
      <c r="L103" s="15">
        <f t="shared" si="5"/>
        <v>99</v>
      </c>
      <c r="M103" s="13"/>
      <c r="N103" s="14">
        <f t="shared" si="6"/>
        <v>22500</v>
      </c>
      <c r="O103" s="14"/>
      <c r="P103" s="13"/>
      <c r="Q103" s="14">
        <f t="shared" si="7"/>
        <v>22500</v>
      </c>
    </row>
    <row r="104" spans="2:17">
      <c r="B104" s="9">
        <v>100</v>
      </c>
      <c r="C104" s="10">
        <v>15281</v>
      </c>
      <c r="D104" s="10">
        <v>22500</v>
      </c>
      <c r="E104" s="10">
        <v>30562</v>
      </c>
      <c r="F104" s="10">
        <v>20354</v>
      </c>
      <c r="G104" s="11">
        <v>0</v>
      </c>
      <c r="H104" s="10">
        <v>4877091</v>
      </c>
      <c r="I104" s="10">
        <v>4897445</v>
      </c>
      <c r="L104" s="15">
        <f t="shared" si="5"/>
        <v>100</v>
      </c>
      <c r="M104" s="13"/>
      <c r="N104" s="14">
        <f t="shared" si="6"/>
        <v>22500</v>
      </c>
      <c r="O104" s="14"/>
      <c r="P104" s="14">
        <f>I104</f>
        <v>4897445</v>
      </c>
      <c r="Q104" s="14">
        <f>M104+N104+P104+O104</f>
        <v>4919945</v>
      </c>
    </row>
    <row r="105" spans="2:17">
      <c r="P105" s="16" t="s">
        <v>4</v>
      </c>
      <c r="Q105" s="17">
        <f>IRR(Q4:Q104)</f>
        <v>6.4456988375333202E-2</v>
      </c>
    </row>
  </sheetData>
  <mergeCells count="8">
    <mergeCell ref="F1:I1"/>
    <mergeCell ref="G2:H2"/>
    <mergeCell ref="I2:I3"/>
    <mergeCell ref="A1:A3"/>
    <mergeCell ref="B1:B3"/>
    <mergeCell ref="C1:C3"/>
    <mergeCell ref="D1:D3"/>
    <mergeCell ref="E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5w5完全提取</vt:lpstr>
      <vt:lpstr>5w5 18年调增提取</vt:lpstr>
      <vt:lpstr>不提取累积情况</vt:lpstr>
      <vt:lpstr>提取参考：第10年9%持续提取</vt:lpstr>
      <vt:lpstr>提取参考：第11年6.7%+2%通胀调增</vt:lpstr>
      <vt:lpstr>提取参考：第15年9%通胀调增</vt:lpstr>
      <vt:lpstr>提取参考：第18年15%持续提取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Wu</dc:creator>
  <cp:lastModifiedBy>Derek Wu</cp:lastModifiedBy>
  <dcterms:created xsi:type="dcterms:W3CDTF">2024-12-30T12:47:15Z</dcterms:created>
  <dcterms:modified xsi:type="dcterms:W3CDTF">2026-04-11T09:41:08Z</dcterms:modified>
</cp:coreProperties>
</file>